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Jaya Kumar Bearing\ELCGS 5.0\"/>
    </mc:Choice>
  </mc:AlternateContent>
  <xr:revisionPtr revIDLastSave="0" documentId="13_ncr:1_{909B65E9-5368-4B6E-B3BC-91F947DB3309}" xr6:coauthVersionLast="47" xr6:coauthVersionMax="47" xr10:uidLastSave="{00000000-0000-0000-0000-000000000000}"/>
  <bookViews>
    <workbookView xWindow="-120" yWindow="-120" windowWidth="24240" windowHeight="13140" activeTab="2" xr2:uid="{00000000-000D-0000-FFFF-FFFF00000000}"/>
  </bookViews>
  <sheets>
    <sheet name="Dashboard" sheetId="1" r:id="rId1"/>
    <sheet name="Amortization Schedule" sheetId="2" r:id="rId2"/>
    <sheet name="Yearly Summary" sheetId="3" r:id="rId3"/>
  </sheets>
  <calcPr calcId="181029"/>
</workbook>
</file>

<file path=xl/calcChain.xml><?xml version="1.0" encoding="utf-8"?>
<calcChain xmlns="http://schemas.openxmlformats.org/spreadsheetml/2006/main">
  <c r="C63" i="2" l="1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E14" i="2" s="1"/>
  <c r="C13" i="2"/>
  <c r="C12" i="2"/>
  <c r="E12" i="2" s="1"/>
  <c r="C11" i="2"/>
  <c r="C10" i="2"/>
  <c r="C9" i="2"/>
  <c r="E9" i="2" s="1"/>
  <c r="C8" i="2"/>
  <c r="C7" i="2"/>
  <c r="C6" i="2"/>
  <c r="C5" i="2"/>
  <c r="D4" i="2"/>
  <c r="F4" i="2" s="1"/>
  <c r="C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15" i="1"/>
  <c r="B14" i="1"/>
  <c r="E15" i="2" s="1"/>
  <c r="E7" i="2" l="1"/>
  <c r="E4" i="2"/>
  <c r="G4" i="2" s="1"/>
  <c r="E5" i="2"/>
  <c r="E11" i="2"/>
  <c r="E13" i="2"/>
  <c r="E6" i="2"/>
  <c r="E8" i="2"/>
  <c r="E10" i="2"/>
  <c r="E37" i="2"/>
  <c r="E34" i="2"/>
  <c r="E31" i="2"/>
  <c r="E28" i="2"/>
  <c r="E25" i="2"/>
  <c r="E22" i="2"/>
  <c r="E35" i="2"/>
  <c r="E26" i="2"/>
  <c r="E20" i="2"/>
  <c r="E19" i="2"/>
  <c r="E17" i="2"/>
  <c r="E16" i="2"/>
  <c r="E36" i="2"/>
  <c r="E33" i="2"/>
  <c r="E30" i="2"/>
  <c r="E27" i="2"/>
  <c r="E24" i="2"/>
  <c r="E21" i="2"/>
  <c r="E32" i="2"/>
  <c r="E29" i="2"/>
  <c r="E23" i="2"/>
  <c r="E18" i="2"/>
  <c r="E41" i="2"/>
  <c r="I4" i="2"/>
  <c r="E39" i="2"/>
  <c r="E42" i="2"/>
  <c r="E58" i="2"/>
  <c r="E61" i="2"/>
  <c r="E38" i="2"/>
  <c r="E44" i="2"/>
  <c r="E40" i="2"/>
  <c r="E43" i="2"/>
  <c r="E45" i="2"/>
  <c r="E46" i="2"/>
  <c r="E47" i="2"/>
  <c r="E48" i="2"/>
  <c r="E49" i="2"/>
  <c r="E50" i="2"/>
  <c r="E51" i="2"/>
  <c r="E52" i="2"/>
  <c r="E53" i="2"/>
  <c r="E54" i="2"/>
  <c r="E55" i="2"/>
  <c r="E56" i="2"/>
  <c r="E59" i="2"/>
  <c r="E62" i="2"/>
  <c r="E57" i="2"/>
  <c r="E60" i="2"/>
  <c r="E63" i="2"/>
  <c r="B5" i="3" l="1"/>
  <c r="B8" i="3"/>
  <c r="J4" i="2"/>
  <c r="H4" i="2"/>
  <c r="D5" i="2" s="1"/>
  <c r="B9" i="3"/>
  <c r="B6" i="3"/>
  <c r="B7" i="3"/>
  <c r="F5" i="2" l="1"/>
  <c r="G5" i="2" l="1"/>
  <c r="I5" i="2"/>
  <c r="J5" i="2" l="1"/>
  <c r="H5" i="2"/>
  <c r="D6" i="2" s="1"/>
  <c r="F6" i="2" l="1"/>
  <c r="G6" i="2" l="1"/>
  <c r="I6" i="2"/>
  <c r="H6" i="2" l="1"/>
  <c r="D7" i="2" s="1"/>
  <c r="J6" i="2"/>
  <c r="F7" i="2" l="1"/>
  <c r="G7" i="2" l="1"/>
  <c r="I7" i="2"/>
  <c r="H7" i="2" l="1"/>
  <c r="D8" i="2" s="1"/>
  <c r="J7" i="2"/>
  <c r="F8" i="2" l="1"/>
  <c r="G8" i="2" l="1"/>
  <c r="I8" i="2"/>
  <c r="H8" i="2" l="1"/>
  <c r="D9" i="2" s="1"/>
  <c r="J8" i="2"/>
  <c r="F9" i="2" l="1"/>
  <c r="G9" i="2" l="1"/>
  <c r="I9" i="2"/>
  <c r="H9" i="2" l="1"/>
  <c r="D10" i="2" s="1"/>
  <c r="J9" i="2"/>
  <c r="F10" i="2" l="1"/>
  <c r="G10" i="2" l="1"/>
  <c r="I10" i="2"/>
  <c r="J10" i="2" l="1"/>
  <c r="H10" i="2"/>
  <c r="D11" i="2" s="1"/>
  <c r="F11" i="2" l="1"/>
  <c r="G11" i="2" l="1"/>
  <c r="I11" i="2"/>
  <c r="H11" i="2" l="1"/>
  <c r="D12" i="2" s="1"/>
  <c r="J11" i="2"/>
  <c r="F12" i="2" l="1"/>
  <c r="G12" i="2" l="1"/>
  <c r="I12" i="2"/>
  <c r="J12" i="2" l="1"/>
  <c r="H12" i="2"/>
  <c r="D13" i="2" s="1"/>
  <c r="F13" i="2" l="1"/>
  <c r="G13" i="2" l="1"/>
  <c r="I13" i="2"/>
  <c r="H13" i="2" l="1"/>
  <c r="D14" i="2" s="1"/>
  <c r="J13" i="2"/>
  <c r="F14" i="2" l="1"/>
  <c r="G14" i="2" l="1"/>
  <c r="I14" i="2"/>
  <c r="J14" i="2" l="1"/>
  <c r="H14" i="2"/>
  <c r="D15" i="2" s="1"/>
  <c r="F15" i="2" l="1"/>
  <c r="G15" i="2" l="1"/>
  <c r="I15" i="2"/>
  <c r="J15" i="2" l="1"/>
  <c r="H15" i="2"/>
  <c r="E5" i="3" l="1"/>
  <c r="D16" i="2"/>
  <c r="F16" i="2" l="1"/>
  <c r="G16" i="2" l="1"/>
  <c r="I16" i="2"/>
  <c r="J16" i="2" l="1"/>
  <c r="H16" i="2"/>
  <c r="D17" i="2" s="1"/>
  <c r="F17" i="2" l="1"/>
  <c r="G17" i="2" l="1"/>
  <c r="I17" i="2"/>
  <c r="J17" i="2" l="1"/>
  <c r="H17" i="2"/>
  <c r="D18" i="2" s="1"/>
  <c r="F18" i="2" l="1"/>
  <c r="G18" i="2" l="1"/>
  <c r="I18" i="2"/>
  <c r="J18" i="2" l="1"/>
  <c r="H18" i="2"/>
  <c r="D19" i="2" s="1"/>
  <c r="F19" i="2" l="1"/>
  <c r="G19" i="2" l="1"/>
  <c r="I19" i="2"/>
  <c r="J19" i="2" l="1"/>
  <c r="H19" i="2"/>
  <c r="D20" i="2" s="1"/>
  <c r="F20" i="2" l="1"/>
  <c r="G20" i="2" l="1"/>
  <c r="I20" i="2"/>
  <c r="J20" i="2" l="1"/>
  <c r="H20" i="2"/>
  <c r="D21" i="2" s="1"/>
  <c r="F21" i="2" l="1"/>
  <c r="G21" i="2" l="1"/>
  <c r="I21" i="2"/>
  <c r="J21" i="2" l="1"/>
  <c r="H21" i="2"/>
  <c r="D22" i="2" s="1"/>
  <c r="F22" i="2" l="1"/>
  <c r="G22" i="2" l="1"/>
  <c r="I22" i="2"/>
  <c r="J22" i="2" l="1"/>
  <c r="H22" i="2"/>
  <c r="D23" i="2" s="1"/>
  <c r="F23" i="2" l="1"/>
  <c r="G23" i="2" l="1"/>
  <c r="I23" i="2"/>
  <c r="J23" i="2" l="1"/>
  <c r="H23" i="2"/>
  <c r="D24" i="2" s="1"/>
  <c r="F24" i="2" l="1"/>
  <c r="G24" i="2" l="1"/>
  <c r="I24" i="2"/>
  <c r="J24" i="2" l="1"/>
  <c r="H24" i="2"/>
  <c r="D25" i="2" s="1"/>
  <c r="F25" i="2" l="1"/>
  <c r="G25" i="2" l="1"/>
  <c r="I25" i="2"/>
  <c r="J25" i="2" l="1"/>
  <c r="H25" i="2"/>
  <c r="D26" i="2" s="1"/>
  <c r="F26" i="2" l="1"/>
  <c r="G26" i="2" l="1"/>
  <c r="I26" i="2"/>
  <c r="J26" i="2" l="1"/>
  <c r="H26" i="2"/>
  <c r="D27" i="2" s="1"/>
  <c r="F27" i="2" l="1"/>
  <c r="G27" i="2" l="1"/>
  <c r="I27" i="2"/>
  <c r="J27" i="2" l="1"/>
  <c r="H27" i="2"/>
  <c r="E6" i="3" l="1"/>
  <c r="D28" i="2"/>
  <c r="F28" i="2" l="1"/>
  <c r="G28" i="2" l="1"/>
  <c r="I28" i="2"/>
  <c r="J28" i="2" l="1"/>
  <c r="H28" i="2"/>
  <c r="D29" i="2" s="1"/>
  <c r="F29" i="2" l="1"/>
  <c r="G29" i="2" l="1"/>
  <c r="I29" i="2"/>
  <c r="J29" i="2" l="1"/>
  <c r="H29" i="2"/>
  <c r="D30" i="2" s="1"/>
  <c r="F30" i="2" l="1"/>
  <c r="G30" i="2" l="1"/>
  <c r="I30" i="2"/>
  <c r="J30" i="2" l="1"/>
  <c r="H30" i="2"/>
  <c r="D31" i="2" s="1"/>
  <c r="F31" i="2" l="1"/>
  <c r="G31" i="2" l="1"/>
  <c r="I31" i="2"/>
  <c r="J31" i="2" l="1"/>
  <c r="H31" i="2"/>
  <c r="D32" i="2" s="1"/>
  <c r="F32" i="2" l="1"/>
  <c r="G32" i="2" l="1"/>
  <c r="I32" i="2"/>
  <c r="J32" i="2" l="1"/>
  <c r="H32" i="2"/>
  <c r="D33" i="2" s="1"/>
  <c r="F33" i="2" l="1"/>
  <c r="G33" i="2" l="1"/>
  <c r="I33" i="2"/>
  <c r="J33" i="2" l="1"/>
  <c r="H33" i="2"/>
  <c r="D34" i="2" s="1"/>
  <c r="F34" i="2" l="1"/>
  <c r="G34" i="2" l="1"/>
  <c r="I34" i="2"/>
  <c r="J34" i="2" l="1"/>
  <c r="H34" i="2"/>
  <c r="D35" i="2" s="1"/>
  <c r="F35" i="2" l="1"/>
  <c r="G35" i="2" l="1"/>
  <c r="I35" i="2"/>
  <c r="H35" i="2" l="1"/>
  <c r="D36" i="2" s="1"/>
  <c r="J35" i="2"/>
  <c r="F36" i="2" l="1"/>
  <c r="G36" i="2" l="1"/>
  <c r="I36" i="2"/>
  <c r="J36" i="2" l="1"/>
  <c r="H36" i="2"/>
  <c r="D37" i="2" s="1"/>
  <c r="F37" i="2" l="1"/>
  <c r="G37" i="2" l="1"/>
  <c r="I37" i="2"/>
  <c r="J37" i="2" l="1"/>
  <c r="H37" i="2"/>
  <c r="D38" i="2" s="1"/>
  <c r="F38" i="2" l="1"/>
  <c r="G38" i="2" l="1"/>
  <c r="I38" i="2"/>
  <c r="J38" i="2" l="1"/>
  <c r="H38" i="2"/>
  <c r="D39" i="2" s="1"/>
  <c r="F39" i="2" l="1"/>
  <c r="G39" i="2" l="1"/>
  <c r="I39" i="2"/>
  <c r="J39" i="2" l="1"/>
  <c r="H39" i="2"/>
  <c r="D40" i="2" l="1"/>
  <c r="E7" i="3"/>
  <c r="F40" i="2" l="1"/>
  <c r="G40" i="2" l="1"/>
  <c r="I40" i="2"/>
  <c r="J40" i="2" l="1"/>
  <c r="H40" i="2"/>
  <c r="D41" i="2" s="1"/>
  <c r="F41" i="2" l="1"/>
  <c r="G41" i="2" l="1"/>
  <c r="I41" i="2"/>
  <c r="J41" i="2" l="1"/>
  <c r="H41" i="2"/>
  <c r="D42" i="2" s="1"/>
  <c r="F42" i="2" l="1"/>
  <c r="G42" i="2" l="1"/>
  <c r="I42" i="2"/>
  <c r="J42" i="2" l="1"/>
  <c r="H42" i="2"/>
  <c r="D43" i="2" s="1"/>
  <c r="F43" i="2" l="1"/>
  <c r="G43" i="2" l="1"/>
  <c r="I43" i="2"/>
  <c r="J43" i="2" l="1"/>
  <c r="H43" i="2"/>
  <c r="D44" i="2" s="1"/>
  <c r="F44" i="2" l="1"/>
  <c r="G44" i="2" l="1"/>
  <c r="I44" i="2"/>
  <c r="J44" i="2" l="1"/>
  <c r="H44" i="2"/>
  <c r="D45" i="2" s="1"/>
  <c r="F45" i="2" l="1"/>
  <c r="G45" i="2" l="1"/>
  <c r="I45" i="2"/>
  <c r="J45" i="2" l="1"/>
  <c r="H45" i="2"/>
  <c r="D46" i="2" s="1"/>
  <c r="F46" i="2" l="1"/>
  <c r="G46" i="2" l="1"/>
  <c r="I46" i="2"/>
  <c r="H46" i="2" l="1"/>
  <c r="D47" i="2" s="1"/>
  <c r="J46" i="2"/>
  <c r="F47" i="2" l="1"/>
  <c r="G47" i="2" l="1"/>
  <c r="I47" i="2"/>
  <c r="J47" i="2" l="1"/>
  <c r="H47" i="2"/>
  <c r="D48" i="2" s="1"/>
  <c r="F48" i="2" l="1"/>
  <c r="G48" i="2" l="1"/>
  <c r="I48" i="2"/>
  <c r="H48" i="2" l="1"/>
  <c r="D49" i="2" s="1"/>
  <c r="J48" i="2"/>
  <c r="F49" i="2" l="1"/>
  <c r="G49" i="2" l="1"/>
  <c r="I49" i="2"/>
  <c r="J49" i="2" l="1"/>
  <c r="H49" i="2"/>
  <c r="D50" i="2" s="1"/>
  <c r="F50" i="2" l="1"/>
  <c r="G50" i="2" l="1"/>
  <c r="I50" i="2"/>
  <c r="H50" i="2" l="1"/>
  <c r="D51" i="2" s="1"/>
  <c r="J50" i="2"/>
  <c r="F51" i="2" l="1"/>
  <c r="G51" i="2" l="1"/>
  <c r="I51" i="2"/>
  <c r="J51" i="2" l="1"/>
  <c r="H51" i="2"/>
  <c r="E8" i="3" l="1"/>
  <c r="D52" i="2"/>
  <c r="F52" i="2" l="1"/>
  <c r="G52" i="2" l="1"/>
  <c r="I52" i="2"/>
  <c r="J52" i="2" l="1"/>
  <c r="H52" i="2"/>
  <c r="D53" i="2" s="1"/>
  <c r="F53" i="2" l="1"/>
  <c r="G53" i="2" l="1"/>
  <c r="I53" i="2"/>
  <c r="J53" i="2" l="1"/>
  <c r="H53" i="2"/>
  <c r="D54" i="2" s="1"/>
  <c r="F54" i="2" l="1"/>
  <c r="G54" i="2" l="1"/>
  <c r="I54" i="2"/>
  <c r="J54" i="2" l="1"/>
  <c r="H54" i="2"/>
  <c r="D55" i="2" s="1"/>
  <c r="F55" i="2" l="1"/>
  <c r="G55" i="2" l="1"/>
  <c r="I55" i="2"/>
  <c r="J55" i="2" l="1"/>
  <c r="H55" i="2"/>
  <c r="D56" i="2" s="1"/>
  <c r="F56" i="2" l="1"/>
  <c r="G56" i="2" l="1"/>
  <c r="I56" i="2"/>
  <c r="J56" i="2" l="1"/>
  <c r="H56" i="2"/>
  <c r="D57" i="2" s="1"/>
  <c r="F57" i="2" l="1"/>
  <c r="G57" i="2" l="1"/>
  <c r="I57" i="2"/>
  <c r="H57" i="2" l="1"/>
  <c r="D58" i="2" s="1"/>
  <c r="J57" i="2"/>
  <c r="F58" i="2" l="1"/>
  <c r="G58" i="2" l="1"/>
  <c r="I58" i="2"/>
  <c r="J58" i="2" l="1"/>
  <c r="H58" i="2"/>
  <c r="D59" i="2" s="1"/>
  <c r="F59" i="2" l="1"/>
  <c r="G59" i="2" l="1"/>
  <c r="I59" i="2"/>
  <c r="J59" i="2" l="1"/>
  <c r="H59" i="2"/>
  <c r="D60" i="2" s="1"/>
  <c r="F60" i="2" l="1"/>
  <c r="G60" i="2" l="1"/>
  <c r="I60" i="2"/>
  <c r="J60" i="2" l="1"/>
  <c r="H60" i="2"/>
  <c r="D61" i="2" s="1"/>
  <c r="F61" i="2" l="1"/>
  <c r="G61" i="2" l="1"/>
  <c r="I61" i="2"/>
  <c r="H61" i="2" l="1"/>
  <c r="D62" i="2" s="1"/>
  <c r="J61" i="2"/>
  <c r="F62" i="2" l="1"/>
  <c r="G62" i="2" l="1"/>
  <c r="I62" i="2"/>
  <c r="J62" i="2" l="1"/>
  <c r="H62" i="2"/>
  <c r="D63" i="2" s="1"/>
  <c r="F63" i="2" l="1"/>
  <c r="G63" i="2"/>
  <c r="C5" i="3" l="1"/>
  <c r="C6" i="3"/>
  <c r="C7" i="3"/>
  <c r="C8" i="3"/>
  <c r="C9" i="3"/>
  <c r="H63" i="2"/>
  <c r="E9" i="3" s="1"/>
  <c r="J63" i="2"/>
  <c r="D5" i="3"/>
  <c r="B16" i="1"/>
  <c r="B17" i="1" s="1"/>
  <c r="D6" i="3"/>
  <c r="D7" i="3"/>
  <c r="D8" i="3"/>
  <c r="D9" i="3"/>
  <c r="I63" i="2"/>
</calcChain>
</file>

<file path=xl/sharedStrings.xml><?xml version="1.0" encoding="utf-8"?>
<sst xmlns="http://schemas.openxmlformats.org/spreadsheetml/2006/main" count="32" uniqueCount="30">
  <si>
    <t>ELGS 5.0 LOAN MANAGEMENT DASHBOARD</t>
  </si>
  <si>
    <t>LOAN PARAMETERS (INPUTS)</t>
  </si>
  <si>
    <t>Loan Amount (Principal)</t>
  </si>
  <si>
    <t>Annual Interest Rate</t>
  </si>
  <si>
    <t>Total Tenure (Months)</t>
  </si>
  <si>
    <t>Moratorium Period (Months)</t>
  </si>
  <si>
    <t>First Disbursal Date</t>
  </si>
  <si>
    <t>CALCULATED STRUCTURAL METRICS</t>
  </si>
  <si>
    <t>Year 1 Monthly Interest (Moratorium)</t>
  </si>
  <si>
    <t>Years 2-5 Monthly EMI</t>
  </si>
  <si>
    <t>Total Interest Payable</t>
  </si>
  <si>
    <t>Total Capital Outlay</t>
  </si>
  <si>
    <t>Month</t>
  </si>
  <si>
    <t>Payment Date</t>
  </si>
  <si>
    <t>Phase Indicator</t>
  </si>
  <si>
    <t>Beginning Balance</t>
  </si>
  <si>
    <t>Total Payment</t>
  </si>
  <si>
    <t>Interest Component</t>
  </si>
  <si>
    <t>Principal Component</t>
  </si>
  <si>
    <t>Ending Balance</t>
  </si>
  <si>
    <t>Cum. Interest</t>
  </si>
  <si>
    <t>Cum. Principal</t>
  </si>
  <si>
    <t>Year</t>
  </si>
  <si>
    <t>Total Annual Payment</t>
  </si>
  <si>
    <t>Annual Principal Paid</t>
  </si>
  <si>
    <t>Annual Interest Paid</t>
  </si>
  <si>
    <t>Year-End Balance</t>
  </si>
  <si>
    <t xml:space="preserve">Bank </t>
  </si>
  <si>
    <t>Canara Bank RJPM</t>
  </si>
  <si>
    <r>
      <rPr>
        <b/>
        <sz val="20"/>
        <color rgb="FF00B0F0"/>
        <rFont val="Segoe UI"/>
        <family val="2"/>
      </rPr>
      <t>JAYAKUMAR BEARINGS</t>
    </r>
    <r>
      <rPr>
        <b/>
        <sz val="12"/>
        <rFont val="Segoe UI"/>
        <family val="2"/>
      </rPr>
      <t xml:space="preserve">
</t>
    </r>
    <r>
      <rPr>
        <sz val="12"/>
        <rFont val="Segoe UI"/>
        <family val="2"/>
      </rPr>
      <t xml:space="preserve">112, Cotton Market, (Malayadipatti Street), 
</t>
    </r>
    <r>
      <rPr>
        <b/>
        <sz val="12"/>
        <rFont val="Segoe UI"/>
        <family val="2"/>
      </rPr>
      <t>Rajapalayam - 626117.</t>
    </r>
    <r>
      <rPr>
        <sz val="12"/>
        <rFont val="Segoe UI"/>
        <family val="2"/>
      </rPr>
      <t xml:space="preserve">
Phone no.: 9942983003 Email: jkbearingrjpm@gmail.com
GSTIN: 33ALEPP5843M2ZP, 
State: 33-Tamil Nadu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</si>
</sst>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s.&quot;\ #,##0.00"/>
    <numFmt numFmtId="165" formatCode="yyyy\-mm\-dd"/>
  </numFmts>
  <fonts count="1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b/>
      <sz val="12"/>
      <color rgb="FF1F4E78"/>
      <name val="Segoe UI"/>
    </font>
    <font>
      <sz val="11"/>
      <name val="Segoe UI"/>
    </font>
    <font>
      <b/>
      <sz val="11"/>
      <name val="Segoe UI"/>
    </font>
    <font>
      <b/>
      <sz val="11"/>
      <color rgb="FFFFFFFF"/>
      <name val="Segoe UI"/>
    </font>
    <font>
      <sz val="12"/>
      <color rgb="FF000000"/>
      <name val="Times New Roman"/>
      <family val="1"/>
    </font>
    <font>
      <b/>
      <sz val="12"/>
      <name val="Segoe UI"/>
      <family val="2"/>
    </font>
    <font>
      <sz val="12"/>
      <name val="Segoe UI"/>
      <family val="2"/>
    </font>
    <font>
      <b/>
      <sz val="11"/>
      <color rgb="FFFF0000"/>
      <name val="Segoe UI"/>
      <family val="2"/>
    </font>
    <font>
      <b/>
      <sz val="11"/>
      <color rgb="FF004E9A"/>
      <name val="Segoe UI"/>
      <family val="2"/>
    </font>
    <font>
      <b/>
      <sz val="11"/>
      <color rgb="FF002060"/>
      <name val="Segoe UI"/>
      <family val="2"/>
    </font>
    <font>
      <sz val="11"/>
      <name val="Segoe UI"/>
      <family val="2"/>
    </font>
    <font>
      <b/>
      <sz val="11"/>
      <color theme="5"/>
      <name val="Segoe UI"/>
      <family val="2"/>
    </font>
    <font>
      <b/>
      <sz val="20"/>
      <color rgb="FF00B0F0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1" xfId="0" applyFont="1" applyBorder="1"/>
    <xf numFmtId="0" fontId="5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center"/>
    </xf>
    <xf numFmtId="165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right"/>
    </xf>
    <xf numFmtId="0" fontId="6" fillId="0" borderId="0" xfId="0" applyFont="1" applyAlignment="1">
      <alignment vertical="top" wrapText="1"/>
    </xf>
    <xf numFmtId="164" fontId="4" fillId="5" borderId="1" xfId="0" applyNumberFormat="1" applyFont="1" applyFill="1" applyBorder="1" applyAlignment="1">
      <alignment horizontal="right"/>
    </xf>
    <xf numFmtId="164" fontId="4" fillId="6" borderId="1" xfId="0" applyNumberFormat="1" applyFont="1" applyFill="1" applyBorder="1" applyAlignment="1">
      <alignment horizontal="right"/>
    </xf>
    <xf numFmtId="164" fontId="4" fillId="8" borderId="1" xfId="0" applyNumberFormat="1" applyFont="1" applyFill="1" applyBorder="1" applyAlignment="1">
      <alignment horizontal="right"/>
    </xf>
    <xf numFmtId="164" fontId="4" fillId="9" borderId="1" xfId="0" applyNumberFormat="1" applyFont="1" applyFill="1" applyBorder="1" applyAlignment="1">
      <alignment horizontal="right"/>
    </xf>
    <xf numFmtId="165" fontId="9" fillId="0" borderId="1" xfId="0" applyNumberFormat="1" applyFont="1" applyBorder="1" applyAlignment="1">
      <alignment horizontal="right"/>
    </xf>
    <xf numFmtId="10" fontId="10" fillId="0" borderId="1" xfId="0" applyNumberFormat="1" applyFont="1" applyBorder="1" applyAlignment="1">
      <alignment horizontal="right"/>
    </xf>
    <xf numFmtId="3" fontId="11" fillId="0" borderId="1" xfId="0" applyNumberFormat="1" applyFont="1" applyBorder="1" applyAlignment="1">
      <alignment horizontal="right"/>
    </xf>
    <xf numFmtId="0" fontId="12" fillId="0" borderId="0" xfId="0" applyFont="1"/>
    <xf numFmtId="165" fontId="13" fillId="7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8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ELGS 5.0 Principal Balance Reduction Curve</a:t>
            </a:r>
          </a:p>
        </c:rich>
      </c:tx>
      <c:layout>
        <c:manualLayout>
          <c:xMode val="edge"/>
          <c:yMode val="edge"/>
          <c:x val="0.20052939691263424"/>
          <c:y val="0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'Amortization Schedule'!$H$3</c:f>
              <c:strCache>
                <c:ptCount val="1"/>
                <c:pt idx="0">
                  <c:v>Ending Balance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'Amortization Schedule'!$A$4:$A$63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'Amortization Schedule'!$H$4:$H$63</c:f>
              <c:numCache>
                <c:formatCode>"Rs."\ #,##0.00</c:formatCode>
                <c:ptCount val="60"/>
                <c:pt idx="0">
                  <c:v>199000</c:v>
                </c:pt>
                <c:pt idx="1">
                  <c:v>199000</c:v>
                </c:pt>
                <c:pt idx="2">
                  <c:v>199000</c:v>
                </c:pt>
                <c:pt idx="3">
                  <c:v>199000</c:v>
                </c:pt>
                <c:pt idx="4">
                  <c:v>199000</c:v>
                </c:pt>
                <c:pt idx="5">
                  <c:v>199000</c:v>
                </c:pt>
                <c:pt idx="6">
                  <c:v>199000</c:v>
                </c:pt>
                <c:pt idx="7">
                  <c:v>199000</c:v>
                </c:pt>
                <c:pt idx="8">
                  <c:v>199000</c:v>
                </c:pt>
                <c:pt idx="9">
                  <c:v>199000</c:v>
                </c:pt>
                <c:pt idx="10">
                  <c:v>199000</c:v>
                </c:pt>
                <c:pt idx="11">
                  <c:v>199000</c:v>
                </c:pt>
                <c:pt idx="12">
                  <c:v>195522.51</c:v>
                </c:pt>
                <c:pt idx="13">
                  <c:v>192019.66</c:v>
                </c:pt>
                <c:pt idx="14">
                  <c:v>188491.27</c:v>
                </c:pt>
                <c:pt idx="15">
                  <c:v>184937.16</c:v>
                </c:pt>
                <c:pt idx="16">
                  <c:v>181357.13</c:v>
                </c:pt>
                <c:pt idx="17">
                  <c:v>177751</c:v>
                </c:pt>
                <c:pt idx="18">
                  <c:v>174118.57</c:v>
                </c:pt>
                <c:pt idx="19">
                  <c:v>170459.65</c:v>
                </c:pt>
                <c:pt idx="20">
                  <c:v>166774.04999999999</c:v>
                </c:pt>
                <c:pt idx="21">
                  <c:v>163061.57999999999</c:v>
                </c:pt>
                <c:pt idx="22">
                  <c:v>159322.03999999998</c:v>
                </c:pt>
                <c:pt idx="23">
                  <c:v>155555.22999999998</c:v>
                </c:pt>
                <c:pt idx="24">
                  <c:v>151760.95999999999</c:v>
                </c:pt>
                <c:pt idx="25">
                  <c:v>147939.01999999999</c:v>
                </c:pt>
                <c:pt idx="26">
                  <c:v>144089.21</c:v>
                </c:pt>
                <c:pt idx="27">
                  <c:v>140211.32999999999</c:v>
                </c:pt>
                <c:pt idx="28">
                  <c:v>136305.16999999998</c:v>
                </c:pt>
                <c:pt idx="29">
                  <c:v>132370.52999999997</c:v>
                </c:pt>
                <c:pt idx="30">
                  <c:v>128407.19999999997</c:v>
                </c:pt>
                <c:pt idx="31">
                  <c:v>124414.96999999997</c:v>
                </c:pt>
                <c:pt idx="32">
                  <c:v>120393.62999999998</c:v>
                </c:pt>
                <c:pt idx="33">
                  <c:v>116342.96999999997</c:v>
                </c:pt>
                <c:pt idx="34">
                  <c:v>112262.76999999997</c:v>
                </c:pt>
                <c:pt idx="35">
                  <c:v>108152.81999999998</c:v>
                </c:pt>
                <c:pt idx="36">
                  <c:v>104012.89999999998</c:v>
                </c:pt>
                <c:pt idx="37">
                  <c:v>99842.799999999974</c:v>
                </c:pt>
                <c:pt idx="38">
                  <c:v>95642.289999999979</c:v>
                </c:pt>
                <c:pt idx="39">
                  <c:v>91411.14999999998</c:v>
                </c:pt>
                <c:pt idx="40">
                  <c:v>87149.159999999974</c:v>
                </c:pt>
                <c:pt idx="41">
                  <c:v>82856.089999999967</c:v>
                </c:pt>
                <c:pt idx="42">
                  <c:v>78531.719999999972</c:v>
                </c:pt>
                <c:pt idx="43">
                  <c:v>74175.819999999978</c:v>
                </c:pt>
                <c:pt idx="44">
                  <c:v>69788.159999999974</c:v>
                </c:pt>
                <c:pt idx="45">
                  <c:v>65368.499999999971</c:v>
                </c:pt>
                <c:pt idx="46">
                  <c:v>60916.619999999974</c:v>
                </c:pt>
                <c:pt idx="47">
                  <c:v>56432.269999999975</c:v>
                </c:pt>
                <c:pt idx="48">
                  <c:v>51915.229999999974</c:v>
                </c:pt>
                <c:pt idx="49">
                  <c:v>47365.249999999971</c:v>
                </c:pt>
                <c:pt idx="50">
                  <c:v>42782.089999999967</c:v>
                </c:pt>
                <c:pt idx="51">
                  <c:v>38165.509999999966</c:v>
                </c:pt>
                <c:pt idx="52">
                  <c:v>33515.269999999968</c:v>
                </c:pt>
                <c:pt idx="53">
                  <c:v>28831.119999999966</c:v>
                </c:pt>
                <c:pt idx="54">
                  <c:v>24112.819999999967</c:v>
                </c:pt>
                <c:pt idx="55">
                  <c:v>19360.109999999968</c:v>
                </c:pt>
                <c:pt idx="56">
                  <c:v>14572.749999999967</c:v>
                </c:pt>
                <c:pt idx="57">
                  <c:v>9750.4799999999668</c:v>
                </c:pt>
                <c:pt idx="58">
                  <c:v>4893.0499999999665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2D-4024-9ACE-7ED7974E9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Outstanding Loan Balance (Rs.)</a:t>
                </a:r>
              </a:p>
            </c:rich>
          </c:tx>
          <c:overlay val="0"/>
        </c:title>
        <c:numFmt formatCode="&quot;Rs.&quot;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38100</xdr:colOff>
      <xdr:row>0</xdr:row>
      <xdr:rowOff>1495425</xdr:rowOff>
    </xdr:from>
    <xdr:ext cx="4257675" cy="37052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196372</xdr:colOff>
      <xdr:row>0</xdr:row>
      <xdr:rowOff>2475</xdr:rowOff>
    </xdr:from>
    <xdr:ext cx="1346677" cy="1393529"/>
    <xdr:pic>
      <xdr:nvPicPr>
        <xdr:cNvPr id="3" name="image1.jpeg">
          <a:extLst>
            <a:ext uri="{FF2B5EF4-FFF2-40B4-BE49-F238E27FC236}">
              <a16:creationId xmlns:a16="http://schemas.microsoft.com/office/drawing/2014/main" id="{B3E59B0C-B3EB-4EB1-B20F-069E7588A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372" y="2475"/>
          <a:ext cx="1346677" cy="139352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196372</xdr:colOff>
      <xdr:row>0</xdr:row>
      <xdr:rowOff>2475</xdr:rowOff>
    </xdr:from>
    <xdr:ext cx="1346677" cy="1393529"/>
    <xdr:pic>
      <xdr:nvPicPr>
        <xdr:cNvPr id="2" name="image1.jpeg">
          <a:extLst>
            <a:ext uri="{FF2B5EF4-FFF2-40B4-BE49-F238E27FC236}">
              <a16:creationId xmlns:a16="http://schemas.microsoft.com/office/drawing/2014/main" id="{C9027273-A569-4B4A-BEAC-FF409B6DC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372" y="2475"/>
          <a:ext cx="1346677" cy="1393529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46677" cy="1393529"/>
    <xdr:pic>
      <xdr:nvPicPr>
        <xdr:cNvPr id="2" name="image1.jpeg">
          <a:extLst>
            <a:ext uri="{FF2B5EF4-FFF2-40B4-BE49-F238E27FC236}">
              <a16:creationId xmlns:a16="http://schemas.microsoft.com/office/drawing/2014/main" id="{916E85D0-A2BF-4C7F-B5F6-70FCFBBBF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677" cy="13935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workbookViewId="0">
      <selection activeCell="B10" sqref="B10"/>
    </sheetView>
  </sheetViews>
  <sheetFormatPr defaultRowHeight="15" x14ac:dyDescent="0.25"/>
  <cols>
    <col min="1" max="1" width="38" customWidth="1"/>
    <col min="2" max="2" width="22" customWidth="1"/>
    <col min="3" max="3" width="12" customWidth="1"/>
  </cols>
  <sheetData>
    <row r="1" spans="1:10" ht="118.5" customHeight="1" x14ac:dyDescent="0.25">
      <c r="A1" s="24" t="s">
        <v>29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x14ac:dyDescent="0.25">
      <c r="A2" s="22" t="s">
        <v>0</v>
      </c>
      <c r="B2" s="23"/>
      <c r="C2" s="23"/>
    </row>
    <row r="3" spans="1:10" x14ac:dyDescent="0.25">
      <c r="A3" s="23"/>
      <c r="B3" s="23"/>
      <c r="C3" s="23"/>
    </row>
    <row r="5" spans="1:10" ht="17.25" x14ac:dyDescent="0.3">
      <c r="A5" s="1" t="s">
        <v>1</v>
      </c>
    </row>
    <row r="6" spans="1:10" ht="16.5" x14ac:dyDescent="0.3">
      <c r="A6" s="2" t="s">
        <v>2</v>
      </c>
      <c r="B6" s="13">
        <v>199000</v>
      </c>
    </row>
    <row r="7" spans="1:10" ht="16.5" x14ac:dyDescent="0.3">
      <c r="A7" s="2" t="s">
        <v>3</v>
      </c>
      <c r="B7" s="18">
        <v>8.7499999999999994E-2</v>
      </c>
    </row>
    <row r="8" spans="1:10" ht="16.5" x14ac:dyDescent="0.3">
      <c r="A8" s="2" t="s">
        <v>4</v>
      </c>
      <c r="B8" s="19">
        <v>60</v>
      </c>
    </row>
    <row r="9" spans="1:10" ht="16.5" x14ac:dyDescent="0.3">
      <c r="A9" s="2" t="s">
        <v>5</v>
      </c>
      <c r="B9" s="19">
        <v>12</v>
      </c>
    </row>
    <row r="10" spans="1:10" ht="16.5" x14ac:dyDescent="0.3">
      <c r="A10" s="2" t="s">
        <v>6</v>
      </c>
      <c r="B10" s="17">
        <v>46203</v>
      </c>
    </row>
    <row r="11" spans="1:10" ht="16.5" x14ac:dyDescent="0.3">
      <c r="A11" s="20" t="s">
        <v>27</v>
      </c>
      <c r="B11" s="21" t="s">
        <v>28</v>
      </c>
    </row>
    <row r="13" spans="1:10" ht="17.25" x14ac:dyDescent="0.3">
      <c r="A13" s="1" t="s">
        <v>7</v>
      </c>
    </row>
    <row r="14" spans="1:10" ht="16.5" x14ac:dyDescent="0.3">
      <c r="A14" s="2" t="s">
        <v>8</v>
      </c>
      <c r="B14" s="13">
        <f>B6*(B7/12)</f>
        <v>1451.0416666666665</v>
      </c>
    </row>
    <row r="15" spans="1:10" ht="16.5" x14ac:dyDescent="0.3">
      <c r="A15" s="2" t="s">
        <v>9</v>
      </c>
      <c r="B15" s="14">
        <f>IFERROR(PMT(B7/12, B8-B9, -B6), 0)</f>
        <v>4928.5341535299431</v>
      </c>
    </row>
    <row r="16" spans="1:10" ht="16.5" x14ac:dyDescent="0.3">
      <c r="A16" s="2" t="s">
        <v>10</v>
      </c>
      <c r="B16" s="16">
        <f>SUM('Amortization Schedule'!F4:F63)</f>
        <v>54982.120000000024</v>
      </c>
    </row>
    <row r="17" spans="1:2" ht="16.5" x14ac:dyDescent="0.3">
      <c r="A17" s="2" t="s">
        <v>11</v>
      </c>
      <c r="B17" s="15">
        <f>B6+B16</f>
        <v>253982.12000000002</v>
      </c>
    </row>
  </sheetData>
  <mergeCells count="2">
    <mergeCell ref="A2:C3"/>
    <mergeCell ref="A1:J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3"/>
  <sheetViews>
    <sheetView topLeftCell="A40" workbookViewId="0">
      <selection sqref="A1:J1"/>
    </sheetView>
  </sheetViews>
  <sheetFormatPr defaultRowHeight="15" x14ac:dyDescent="0.25"/>
  <cols>
    <col min="1" max="1" width="12" customWidth="1"/>
    <col min="2" max="2" width="19" customWidth="1"/>
    <col min="3" max="3" width="27.42578125" customWidth="1"/>
    <col min="4" max="4" width="21" customWidth="1"/>
    <col min="5" max="5" width="19" customWidth="1"/>
    <col min="6" max="6" width="22" customWidth="1"/>
    <col min="7" max="7" width="23" customWidth="1"/>
    <col min="8" max="10" width="19" customWidth="1"/>
  </cols>
  <sheetData>
    <row r="1" spans="1:10" ht="118.5" customHeight="1" x14ac:dyDescent="0.25">
      <c r="A1" s="24" t="s">
        <v>29</v>
      </c>
      <c r="B1" s="25"/>
      <c r="C1" s="25"/>
      <c r="D1" s="25"/>
      <c r="E1" s="25"/>
      <c r="F1" s="25"/>
      <c r="G1" s="25"/>
      <c r="H1" s="25"/>
      <c r="I1" s="25"/>
      <c r="J1" s="25"/>
    </row>
    <row r="3" spans="1:10" ht="16.5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</row>
    <row r="4" spans="1:10" ht="16.5" x14ac:dyDescent="0.3">
      <c r="A4" s="4">
        <v>1</v>
      </c>
      <c r="B4" s="5">
        <f>Dashboard!$B$10</f>
        <v>46203</v>
      </c>
      <c r="C4" s="6" t="str">
        <f>IF(A4&lt;=Dashboard!$B$9, "Moratorium (Interest-Only)", "Repayment (EMI Phase)")</f>
        <v>Moratorium (Interest-Only)</v>
      </c>
      <c r="D4" s="7">
        <f>Dashboard!$B$6</f>
        <v>199000</v>
      </c>
      <c r="E4" s="7">
        <f>IF(C4="Moratorium (Interest-Only)", Dashboard!$B$14, Dashboard!$B$15)</f>
        <v>1451.0416666666665</v>
      </c>
      <c r="F4" s="7">
        <f>ROUND(D4*(Dashboard!$B$7/12), 2)</f>
        <v>1451.04</v>
      </c>
      <c r="G4" s="7">
        <f t="shared" ref="G4:G35" si="0">ROUND(E4-F4, 2)</f>
        <v>0</v>
      </c>
      <c r="H4" s="7">
        <f t="shared" ref="H4:H35" si="1">D4-G4</f>
        <v>199000</v>
      </c>
      <c r="I4" s="7">
        <f>F4</f>
        <v>1451.04</v>
      </c>
      <c r="J4" s="7">
        <f>G4</f>
        <v>0</v>
      </c>
    </row>
    <row r="5" spans="1:10" ht="16.5" x14ac:dyDescent="0.3">
      <c r="A5" s="4">
        <v>2</v>
      </c>
      <c r="B5" s="5">
        <f t="shared" ref="B5:B36" si="2">EDATE(B4, 1)</f>
        <v>46233</v>
      </c>
      <c r="C5" s="6" t="str">
        <f>IF(A5&lt;=Dashboard!$B$9, "Moratorium (Interest-Only)", "Repayment (EMI Phase)")</f>
        <v>Moratorium (Interest-Only)</v>
      </c>
      <c r="D5" s="7">
        <f t="shared" ref="D5:D36" si="3">H4</f>
        <v>199000</v>
      </c>
      <c r="E5" s="7">
        <f>IF(C5="Moratorium (Interest-Only)", Dashboard!$B$14, Dashboard!$B$15)</f>
        <v>1451.0416666666665</v>
      </c>
      <c r="F5" s="7">
        <f>ROUND(D5*(Dashboard!$B$7/12), 2)</f>
        <v>1451.04</v>
      </c>
      <c r="G5" s="7">
        <f t="shared" si="0"/>
        <v>0</v>
      </c>
      <c r="H5" s="7">
        <f t="shared" si="1"/>
        <v>199000</v>
      </c>
      <c r="I5" s="7">
        <f t="shared" ref="I5:I36" si="4">I4+F5</f>
        <v>2902.08</v>
      </c>
      <c r="J5" s="7">
        <f t="shared" ref="J5:J36" si="5">J4+G5</f>
        <v>0</v>
      </c>
    </row>
    <row r="6" spans="1:10" ht="16.5" x14ac:dyDescent="0.3">
      <c r="A6" s="4">
        <v>3</v>
      </c>
      <c r="B6" s="5">
        <f t="shared" si="2"/>
        <v>46264</v>
      </c>
      <c r="C6" s="6" t="str">
        <f>IF(A6&lt;=Dashboard!$B$9, "Moratorium (Interest-Only)", "Repayment (EMI Phase)")</f>
        <v>Moratorium (Interest-Only)</v>
      </c>
      <c r="D6" s="7">
        <f t="shared" si="3"/>
        <v>199000</v>
      </c>
      <c r="E6" s="7">
        <f>IF(C6="Moratorium (Interest-Only)", Dashboard!$B$14, Dashboard!$B$15)</f>
        <v>1451.0416666666665</v>
      </c>
      <c r="F6" s="7">
        <f>ROUND(D6*(Dashboard!$B$7/12), 2)</f>
        <v>1451.04</v>
      </c>
      <c r="G6" s="7">
        <f t="shared" si="0"/>
        <v>0</v>
      </c>
      <c r="H6" s="7">
        <f t="shared" si="1"/>
        <v>199000</v>
      </c>
      <c r="I6" s="7">
        <f t="shared" si="4"/>
        <v>4353.12</v>
      </c>
      <c r="J6" s="7">
        <f t="shared" si="5"/>
        <v>0</v>
      </c>
    </row>
    <row r="7" spans="1:10" ht="16.5" x14ac:dyDescent="0.3">
      <c r="A7" s="4">
        <v>4</v>
      </c>
      <c r="B7" s="5">
        <f t="shared" si="2"/>
        <v>46295</v>
      </c>
      <c r="C7" s="6" t="str">
        <f>IF(A7&lt;=Dashboard!$B$9, "Moratorium (Interest-Only)", "Repayment (EMI Phase)")</f>
        <v>Moratorium (Interest-Only)</v>
      </c>
      <c r="D7" s="7">
        <f t="shared" si="3"/>
        <v>199000</v>
      </c>
      <c r="E7" s="7">
        <f>IF(C7="Moratorium (Interest-Only)", Dashboard!$B$14, Dashboard!$B$15)</f>
        <v>1451.0416666666665</v>
      </c>
      <c r="F7" s="7">
        <f>ROUND(D7*(Dashboard!$B$7/12), 2)</f>
        <v>1451.04</v>
      </c>
      <c r="G7" s="7">
        <f t="shared" si="0"/>
        <v>0</v>
      </c>
      <c r="H7" s="7">
        <f t="shared" si="1"/>
        <v>199000</v>
      </c>
      <c r="I7" s="7">
        <f t="shared" si="4"/>
        <v>5804.16</v>
      </c>
      <c r="J7" s="7">
        <f t="shared" si="5"/>
        <v>0</v>
      </c>
    </row>
    <row r="8" spans="1:10" ht="16.5" x14ac:dyDescent="0.3">
      <c r="A8" s="4">
        <v>5</v>
      </c>
      <c r="B8" s="5">
        <f t="shared" si="2"/>
        <v>46325</v>
      </c>
      <c r="C8" s="6" t="str">
        <f>IF(A8&lt;=Dashboard!$B$9, "Moratorium (Interest-Only)", "Repayment (EMI Phase)")</f>
        <v>Moratorium (Interest-Only)</v>
      </c>
      <c r="D8" s="7">
        <f t="shared" si="3"/>
        <v>199000</v>
      </c>
      <c r="E8" s="7">
        <f>IF(C8="Moratorium (Interest-Only)", Dashboard!$B$14, Dashboard!$B$15)</f>
        <v>1451.0416666666665</v>
      </c>
      <c r="F8" s="7">
        <f>ROUND(D8*(Dashboard!$B$7/12), 2)</f>
        <v>1451.04</v>
      </c>
      <c r="G8" s="7">
        <f t="shared" si="0"/>
        <v>0</v>
      </c>
      <c r="H8" s="7">
        <f t="shared" si="1"/>
        <v>199000</v>
      </c>
      <c r="I8" s="7">
        <f t="shared" si="4"/>
        <v>7255.2</v>
      </c>
      <c r="J8" s="7">
        <f t="shared" si="5"/>
        <v>0</v>
      </c>
    </row>
    <row r="9" spans="1:10" ht="16.5" x14ac:dyDescent="0.3">
      <c r="A9" s="4">
        <v>6</v>
      </c>
      <c r="B9" s="5">
        <f t="shared" si="2"/>
        <v>46356</v>
      </c>
      <c r="C9" s="6" t="str">
        <f>IF(A9&lt;=Dashboard!$B$9, "Moratorium (Interest-Only)", "Repayment (EMI Phase)")</f>
        <v>Moratorium (Interest-Only)</v>
      </c>
      <c r="D9" s="7">
        <f t="shared" si="3"/>
        <v>199000</v>
      </c>
      <c r="E9" s="7">
        <f>IF(C9="Moratorium (Interest-Only)", Dashboard!$B$14, Dashboard!$B$15)</f>
        <v>1451.0416666666665</v>
      </c>
      <c r="F9" s="7">
        <f>ROUND(D9*(Dashboard!$B$7/12), 2)</f>
        <v>1451.04</v>
      </c>
      <c r="G9" s="7">
        <f t="shared" si="0"/>
        <v>0</v>
      </c>
      <c r="H9" s="7">
        <f t="shared" si="1"/>
        <v>199000</v>
      </c>
      <c r="I9" s="7">
        <f t="shared" si="4"/>
        <v>8706.24</v>
      </c>
      <c r="J9" s="7">
        <f t="shared" si="5"/>
        <v>0</v>
      </c>
    </row>
    <row r="10" spans="1:10" ht="16.5" x14ac:dyDescent="0.3">
      <c r="A10" s="4">
        <v>7</v>
      </c>
      <c r="B10" s="5">
        <f t="shared" si="2"/>
        <v>46386</v>
      </c>
      <c r="C10" s="6" t="str">
        <f>IF(A10&lt;=Dashboard!$B$9, "Moratorium (Interest-Only)", "Repayment (EMI Phase)")</f>
        <v>Moratorium (Interest-Only)</v>
      </c>
      <c r="D10" s="7">
        <f t="shared" si="3"/>
        <v>199000</v>
      </c>
      <c r="E10" s="7">
        <f>IF(C10="Moratorium (Interest-Only)", Dashboard!$B$14, Dashboard!$B$15)</f>
        <v>1451.0416666666665</v>
      </c>
      <c r="F10" s="7">
        <f>ROUND(D10*(Dashboard!$B$7/12), 2)</f>
        <v>1451.04</v>
      </c>
      <c r="G10" s="7">
        <f t="shared" si="0"/>
        <v>0</v>
      </c>
      <c r="H10" s="7">
        <f t="shared" si="1"/>
        <v>199000</v>
      </c>
      <c r="I10" s="7">
        <f t="shared" si="4"/>
        <v>10157.279999999999</v>
      </c>
      <c r="J10" s="7">
        <f t="shared" si="5"/>
        <v>0</v>
      </c>
    </row>
    <row r="11" spans="1:10" ht="16.5" x14ac:dyDescent="0.3">
      <c r="A11" s="4">
        <v>8</v>
      </c>
      <c r="B11" s="5">
        <f t="shared" si="2"/>
        <v>46417</v>
      </c>
      <c r="C11" s="6" t="str">
        <f>IF(A11&lt;=Dashboard!$B$9, "Moratorium (Interest-Only)", "Repayment (EMI Phase)")</f>
        <v>Moratorium (Interest-Only)</v>
      </c>
      <c r="D11" s="7">
        <f t="shared" si="3"/>
        <v>199000</v>
      </c>
      <c r="E11" s="7">
        <f>IF(C11="Moratorium (Interest-Only)", Dashboard!$B$14, Dashboard!$B$15)</f>
        <v>1451.0416666666665</v>
      </c>
      <c r="F11" s="7">
        <f>ROUND(D11*(Dashboard!$B$7/12), 2)</f>
        <v>1451.04</v>
      </c>
      <c r="G11" s="7">
        <f t="shared" si="0"/>
        <v>0</v>
      </c>
      <c r="H11" s="7">
        <f t="shared" si="1"/>
        <v>199000</v>
      </c>
      <c r="I11" s="7">
        <f t="shared" si="4"/>
        <v>11608.32</v>
      </c>
      <c r="J11" s="7">
        <f t="shared" si="5"/>
        <v>0</v>
      </c>
    </row>
    <row r="12" spans="1:10" ht="16.5" x14ac:dyDescent="0.3">
      <c r="A12" s="4">
        <v>9</v>
      </c>
      <c r="B12" s="5">
        <f t="shared" si="2"/>
        <v>46446</v>
      </c>
      <c r="C12" s="6" t="str">
        <f>IF(A12&lt;=Dashboard!$B$9, "Moratorium (Interest-Only)", "Repayment (EMI Phase)")</f>
        <v>Moratorium (Interest-Only)</v>
      </c>
      <c r="D12" s="7">
        <f t="shared" si="3"/>
        <v>199000</v>
      </c>
      <c r="E12" s="7">
        <f>IF(C12="Moratorium (Interest-Only)", Dashboard!$B$14, Dashboard!$B$15)</f>
        <v>1451.0416666666665</v>
      </c>
      <c r="F12" s="7">
        <f>ROUND(D12*(Dashboard!$B$7/12), 2)</f>
        <v>1451.04</v>
      </c>
      <c r="G12" s="7">
        <f t="shared" si="0"/>
        <v>0</v>
      </c>
      <c r="H12" s="7">
        <f t="shared" si="1"/>
        <v>199000</v>
      </c>
      <c r="I12" s="7">
        <f t="shared" si="4"/>
        <v>13059.36</v>
      </c>
      <c r="J12" s="7">
        <f t="shared" si="5"/>
        <v>0</v>
      </c>
    </row>
    <row r="13" spans="1:10" ht="16.5" x14ac:dyDescent="0.3">
      <c r="A13" s="4">
        <v>10</v>
      </c>
      <c r="B13" s="5">
        <f t="shared" si="2"/>
        <v>46474</v>
      </c>
      <c r="C13" s="6" t="str">
        <f>IF(A13&lt;=Dashboard!$B$9, "Moratorium (Interest-Only)", "Repayment (EMI Phase)")</f>
        <v>Moratorium (Interest-Only)</v>
      </c>
      <c r="D13" s="7">
        <f t="shared" si="3"/>
        <v>199000</v>
      </c>
      <c r="E13" s="7">
        <f>IF(C13="Moratorium (Interest-Only)", Dashboard!$B$14, Dashboard!$B$15)</f>
        <v>1451.0416666666665</v>
      </c>
      <c r="F13" s="7">
        <f>ROUND(D13*(Dashboard!$B$7/12), 2)</f>
        <v>1451.04</v>
      </c>
      <c r="G13" s="7">
        <f t="shared" si="0"/>
        <v>0</v>
      </c>
      <c r="H13" s="7">
        <f t="shared" si="1"/>
        <v>199000</v>
      </c>
      <c r="I13" s="7">
        <f t="shared" si="4"/>
        <v>14510.400000000001</v>
      </c>
      <c r="J13" s="7">
        <f t="shared" si="5"/>
        <v>0</v>
      </c>
    </row>
    <row r="14" spans="1:10" ht="16.5" x14ac:dyDescent="0.3">
      <c r="A14" s="4">
        <v>11</v>
      </c>
      <c r="B14" s="5">
        <f t="shared" si="2"/>
        <v>46505</v>
      </c>
      <c r="C14" s="6" t="str">
        <f>IF(A14&lt;=Dashboard!$B$9, "Moratorium (Interest-Only)", "Repayment (EMI Phase)")</f>
        <v>Moratorium (Interest-Only)</v>
      </c>
      <c r="D14" s="7">
        <f t="shared" si="3"/>
        <v>199000</v>
      </c>
      <c r="E14" s="7">
        <f>IF(C14="Moratorium (Interest-Only)", Dashboard!$B$14, Dashboard!$B$15)</f>
        <v>1451.0416666666665</v>
      </c>
      <c r="F14" s="7">
        <f>ROUND(D14*(Dashboard!$B$7/12), 2)</f>
        <v>1451.04</v>
      </c>
      <c r="G14" s="7">
        <f t="shared" si="0"/>
        <v>0</v>
      </c>
      <c r="H14" s="7">
        <f t="shared" si="1"/>
        <v>199000</v>
      </c>
      <c r="I14" s="7">
        <f t="shared" si="4"/>
        <v>15961.440000000002</v>
      </c>
      <c r="J14" s="7">
        <f t="shared" si="5"/>
        <v>0</v>
      </c>
    </row>
    <row r="15" spans="1:10" ht="16.5" x14ac:dyDescent="0.3">
      <c r="A15" s="4">
        <v>12</v>
      </c>
      <c r="B15" s="5">
        <f t="shared" si="2"/>
        <v>46535</v>
      </c>
      <c r="C15" s="6" t="str">
        <f>IF(A15&lt;=Dashboard!$B$9, "Moratorium (Interest-Only)", "Repayment (EMI Phase)")</f>
        <v>Moratorium (Interest-Only)</v>
      </c>
      <c r="D15" s="7">
        <f t="shared" si="3"/>
        <v>199000</v>
      </c>
      <c r="E15" s="7">
        <f>IF(C15="Moratorium (Interest-Only)", Dashboard!$B$14, Dashboard!$B$15)</f>
        <v>1451.0416666666665</v>
      </c>
      <c r="F15" s="7">
        <f>ROUND(D15*(Dashboard!$B$7/12), 2)</f>
        <v>1451.04</v>
      </c>
      <c r="G15" s="7">
        <f t="shared" si="0"/>
        <v>0</v>
      </c>
      <c r="H15" s="7">
        <f t="shared" si="1"/>
        <v>199000</v>
      </c>
      <c r="I15" s="7">
        <f t="shared" si="4"/>
        <v>17412.480000000003</v>
      </c>
      <c r="J15" s="7">
        <f t="shared" si="5"/>
        <v>0</v>
      </c>
    </row>
    <row r="16" spans="1:10" ht="16.5" x14ac:dyDescent="0.3">
      <c r="A16" s="8">
        <v>13</v>
      </c>
      <c r="B16" s="9">
        <f t="shared" si="2"/>
        <v>46566</v>
      </c>
      <c r="C16" s="10" t="str">
        <f>IF(A16&lt;=Dashboard!$B$9, "Moratorium (Interest-Only)", "Repayment (EMI Phase)")</f>
        <v>Repayment (EMI Phase)</v>
      </c>
      <c r="D16" s="11">
        <f t="shared" si="3"/>
        <v>199000</v>
      </c>
      <c r="E16" s="11">
        <f>IF(C16="Moratorium (Interest-Only)", Dashboard!$B$14, Dashboard!$B$15)</f>
        <v>4928.5341535299431</v>
      </c>
      <c r="F16" s="11">
        <f>ROUND(D16*(Dashboard!$B$7/12), 2)</f>
        <v>1451.04</v>
      </c>
      <c r="G16" s="11">
        <f t="shared" si="0"/>
        <v>3477.49</v>
      </c>
      <c r="H16" s="11">
        <f t="shared" si="1"/>
        <v>195522.51</v>
      </c>
      <c r="I16" s="11">
        <f t="shared" si="4"/>
        <v>18863.520000000004</v>
      </c>
      <c r="J16" s="11">
        <f t="shared" si="5"/>
        <v>3477.49</v>
      </c>
    </row>
    <row r="17" spans="1:10" ht="16.5" x14ac:dyDescent="0.3">
      <c r="A17" s="8">
        <v>14</v>
      </c>
      <c r="B17" s="9">
        <f t="shared" si="2"/>
        <v>46596</v>
      </c>
      <c r="C17" s="10" t="str">
        <f>IF(A17&lt;=Dashboard!$B$9, "Moratorium (Interest-Only)", "Repayment (EMI Phase)")</f>
        <v>Repayment (EMI Phase)</v>
      </c>
      <c r="D17" s="11">
        <f t="shared" si="3"/>
        <v>195522.51</v>
      </c>
      <c r="E17" s="11">
        <f>IF(C17="Moratorium (Interest-Only)", Dashboard!$B$14, Dashboard!$B$15)</f>
        <v>4928.5341535299431</v>
      </c>
      <c r="F17" s="11">
        <f>ROUND(D17*(Dashboard!$B$7/12), 2)</f>
        <v>1425.68</v>
      </c>
      <c r="G17" s="11">
        <f t="shared" si="0"/>
        <v>3502.85</v>
      </c>
      <c r="H17" s="11">
        <f t="shared" si="1"/>
        <v>192019.66</v>
      </c>
      <c r="I17" s="11">
        <f t="shared" si="4"/>
        <v>20289.200000000004</v>
      </c>
      <c r="J17" s="11">
        <f t="shared" si="5"/>
        <v>6980.34</v>
      </c>
    </row>
    <row r="18" spans="1:10" ht="16.5" x14ac:dyDescent="0.3">
      <c r="A18" s="8">
        <v>15</v>
      </c>
      <c r="B18" s="9">
        <f t="shared" si="2"/>
        <v>46627</v>
      </c>
      <c r="C18" s="10" t="str">
        <f>IF(A18&lt;=Dashboard!$B$9, "Moratorium (Interest-Only)", "Repayment (EMI Phase)")</f>
        <v>Repayment (EMI Phase)</v>
      </c>
      <c r="D18" s="11">
        <f t="shared" si="3"/>
        <v>192019.66</v>
      </c>
      <c r="E18" s="11">
        <f>IF(C18="Moratorium (Interest-Only)", Dashboard!$B$14, Dashboard!$B$15)</f>
        <v>4928.5341535299431</v>
      </c>
      <c r="F18" s="11">
        <f>ROUND(D18*(Dashboard!$B$7/12), 2)</f>
        <v>1400.14</v>
      </c>
      <c r="G18" s="11">
        <f t="shared" si="0"/>
        <v>3528.39</v>
      </c>
      <c r="H18" s="11">
        <f t="shared" si="1"/>
        <v>188491.27</v>
      </c>
      <c r="I18" s="11">
        <f t="shared" si="4"/>
        <v>21689.340000000004</v>
      </c>
      <c r="J18" s="11">
        <f t="shared" si="5"/>
        <v>10508.73</v>
      </c>
    </row>
    <row r="19" spans="1:10" ht="16.5" x14ac:dyDescent="0.3">
      <c r="A19" s="8">
        <v>16</v>
      </c>
      <c r="B19" s="9">
        <f t="shared" si="2"/>
        <v>46658</v>
      </c>
      <c r="C19" s="10" t="str">
        <f>IF(A19&lt;=Dashboard!$B$9, "Moratorium (Interest-Only)", "Repayment (EMI Phase)")</f>
        <v>Repayment (EMI Phase)</v>
      </c>
      <c r="D19" s="11">
        <f t="shared" si="3"/>
        <v>188491.27</v>
      </c>
      <c r="E19" s="11">
        <f>IF(C19="Moratorium (Interest-Only)", Dashboard!$B$14, Dashboard!$B$15)</f>
        <v>4928.5341535299431</v>
      </c>
      <c r="F19" s="11">
        <f>ROUND(D19*(Dashboard!$B$7/12), 2)</f>
        <v>1374.42</v>
      </c>
      <c r="G19" s="11">
        <f t="shared" si="0"/>
        <v>3554.11</v>
      </c>
      <c r="H19" s="11">
        <f t="shared" si="1"/>
        <v>184937.16</v>
      </c>
      <c r="I19" s="11">
        <f t="shared" si="4"/>
        <v>23063.760000000002</v>
      </c>
      <c r="J19" s="11">
        <f t="shared" si="5"/>
        <v>14062.84</v>
      </c>
    </row>
    <row r="20" spans="1:10" ht="16.5" x14ac:dyDescent="0.3">
      <c r="A20" s="8">
        <v>17</v>
      </c>
      <c r="B20" s="9">
        <f t="shared" si="2"/>
        <v>46688</v>
      </c>
      <c r="C20" s="10" t="str">
        <f>IF(A20&lt;=Dashboard!$B$9, "Moratorium (Interest-Only)", "Repayment (EMI Phase)")</f>
        <v>Repayment (EMI Phase)</v>
      </c>
      <c r="D20" s="11">
        <f t="shared" si="3"/>
        <v>184937.16</v>
      </c>
      <c r="E20" s="11">
        <f>IF(C20="Moratorium (Interest-Only)", Dashboard!$B$14, Dashboard!$B$15)</f>
        <v>4928.5341535299431</v>
      </c>
      <c r="F20" s="11">
        <f>ROUND(D20*(Dashboard!$B$7/12), 2)</f>
        <v>1348.5</v>
      </c>
      <c r="G20" s="11">
        <f t="shared" si="0"/>
        <v>3580.03</v>
      </c>
      <c r="H20" s="11">
        <f t="shared" si="1"/>
        <v>181357.13</v>
      </c>
      <c r="I20" s="11">
        <f t="shared" si="4"/>
        <v>24412.260000000002</v>
      </c>
      <c r="J20" s="11">
        <f t="shared" si="5"/>
        <v>17642.87</v>
      </c>
    </row>
    <row r="21" spans="1:10" ht="16.5" x14ac:dyDescent="0.3">
      <c r="A21" s="8">
        <v>18</v>
      </c>
      <c r="B21" s="9">
        <f t="shared" si="2"/>
        <v>46719</v>
      </c>
      <c r="C21" s="10" t="str">
        <f>IF(A21&lt;=Dashboard!$B$9, "Moratorium (Interest-Only)", "Repayment (EMI Phase)")</f>
        <v>Repayment (EMI Phase)</v>
      </c>
      <c r="D21" s="11">
        <f t="shared" si="3"/>
        <v>181357.13</v>
      </c>
      <c r="E21" s="11">
        <f>IF(C21="Moratorium (Interest-Only)", Dashboard!$B$14, Dashboard!$B$15)</f>
        <v>4928.5341535299431</v>
      </c>
      <c r="F21" s="11">
        <f>ROUND(D21*(Dashboard!$B$7/12), 2)</f>
        <v>1322.4</v>
      </c>
      <c r="G21" s="11">
        <f t="shared" si="0"/>
        <v>3606.13</v>
      </c>
      <c r="H21" s="11">
        <f t="shared" si="1"/>
        <v>177751</v>
      </c>
      <c r="I21" s="11">
        <f t="shared" si="4"/>
        <v>25734.660000000003</v>
      </c>
      <c r="J21" s="11">
        <f t="shared" si="5"/>
        <v>21249</v>
      </c>
    </row>
    <row r="22" spans="1:10" ht="16.5" x14ac:dyDescent="0.3">
      <c r="A22" s="8">
        <v>19</v>
      </c>
      <c r="B22" s="9">
        <f t="shared" si="2"/>
        <v>46749</v>
      </c>
      <c r="C22" s="10" t="str">
        <f>IF(A22&lt;=Dashboard!$B$9, "Moratorium (Interest-Only)", "Repayment (EMI Phase)")</f>
        <v>Repayment (EMI Phase)</v>
      </c>
      <c r="D22" s="11">
        <f t="shared" si="3"/>
        <v>177751</v>
      </c>
      <c r="E22" s="11">
        <f>IF(C22="Moratorium (Interest-Only)", Dashboard!$B$14, Dashboard!$B$15)</f>
        <v>4928.5341535299431</v>
      </c>
      <c r="F22" s="11">
        <f>ROUND(D22*(Dashboard!$B$7/12), 2)</f>
        <v>1296.0999999999999</v>
      </c>
      <c r="G22" s="11">
        <f t="shared" si="0"/>
        <v>3632.43</v>
      </c>
      <c r="H22" s="11">
        <f t="shared" si="1"/>
        <v>174118.57</v>
      </c>
      <c r="I22" s="11">
        <f t="shared" si="4"/>
        <v>27030.760000000002</v>
      </c>
      <c r="J22" s="11">
        <f t="shared" si="5"/>
        <v>24881.43</v>
      </c>
    </row>
    <row r="23" spans="1:10" ht="16.5" x14ac:dyDescent="0.3">
      <c r="A23" s="8">
        <v>20</v>
      </c>
      <c r="B23" s="9">
        <f t="shared" si="2"/>
        <v>46780</v>
      </c>
      <c r="C23" s="10" t="str">
        <f>IF(A23&lt;=Dashboard!$B$9, "Moratorium (Interest-Only)", "Repayment (EMI Phase)")</f>
        <v>Repayment (EMI Phase)</v>
      </c>
      <c r="D23" s="11">
        <f t="shared" si="3"/>
        <v>174118.57</v>
      </c>
      <c r="E23" s="11">
        <f>IF(C23="Moratorium (Interest-Only)", Dashboard!$B$14, Dashboard!$B$15)</f>
        <v>4928.5341535299431</v>
      </c>
      <c r="F23" s="11">
        <f>ROUND(D23*(Dashboard!$B$7/12), 2)</f>
        <v>1269.6099999999999</v>
      </c>
      <c r="G23" s="11">
        <f t="shared" si="0"/>
        <v>3658.92</v>
      </c>
      <c r="H23" s="11">
        <f t="shared" si="1"/>
        <v>170459.65</v>
      </c>
      <c r="I23" s="11">
        <f t="shared" si="4"/>
        <v>28300.370000000003</v>
      </c>
      <c r="J23" s="11">
        <f t="shared" si="5"/>
        <v>28540.35</v>
      </c>
    </row>
    <row r="24" spans="1:10" ht="16.5" x14ac:dyDescent="0.3">
      <c r="A24" s="8">
        <v>21</v>
      </c>
      <c r="B24" s="9">
        <f t="shared" si="2"/>
        <v>46811</v>
      </c>
      <c r="C24" s="10" t="str">
        <f>IF(A24&lt;=Dashboard!$B$9, "Moratorium (Interest-Only)", "Repayment (EMI Phase)")</f>
        <v>Repayment (EMI Phase)</v>
      </c>
      <c r="D24" s="11">
        <f t="shared" si="3"/>
        <v>170459.65</v>
      </c>
      <c r="E24" s="11">
        <f>IF(C24="Moratorium (Interest-Only)", Dashboard!$B$14, Dashboard!$B$15)</f>
        <v>4928.5341535299431</v>
      </c>
      <c r="F24" s="11">
        <f>ROUND(D24*(Dashboard!$B$7/12), 2)</f>
        <v>1242.93</v>
      </c>
      <c r="G24" s="11">
        <f t="shared" si="0"/>
        <v>3685.6</v>
      </c>
      <c r="H24" s="11">
        <f t="shared" si="1"/>
        <v>166774.04999999999</v>
      </c>
      <c r="I24" s="11">
        <f t="shared" si="4"/>
        <v>29543.300000000003</v>
      </c>
      <c r="J24" s="11">
        <f t="shared" si="5"/>
        <v>32225.949999999997</v>
      </c>
    </row>
    <row r="25" spans="1:10" ht="16.5" x14ac:dyDescent="0.3">
      <c r="A25" s="8">
        <v>22</v>
      </c>
      <c r="B25" s="9">
        <f t="shared" si="2"/>
        <v>46840</v>
      </c>
      <c r="C25" s="10" t="str">
        <f>IF(A25&lt;=Dashboard!$B$9, "Moratorium (Interest-Only)", "Repayment (EMI Phase)")</f>
        <v>Repayment (EMI Phase)</v>
      </c>
      <c r="D25" s="11">
        <f t="shared" si="3"/>
        <v>166774.04999999999</v>
      </c>
      <c r="E25" s="11">
        <f>IF(C25="Moratorium (Interest-Only)", Dashboard!$B$14, Dashboard!$B$15)</f>
        <v>4928.5341535299431</v>
      </c>
      <c r="F25" s="11">
        <f>ROUND(D25*(Dashboard!$B$7/12), 2)</f>
        <v>1216.06</v>
      </c>
      <c r="G25" s="11">
        <f t="shared" si="0"/>
        <v>3712.47</v>
      </c>
      <c r="H25" s="11">
        <f t="shared" si="1"/>
        <v>163061.57999999999</v>
      </c>
      <c r="I25" s="11">
        <f t="shared" si="4"/>
        <v>30759.360000000004</v>
      </c>
      <c r="J25" s="11">
        <f t="shared" si="5"/>
        <v>35938.42</v>
      </c>
    </row>
    <row r="26" spans="1:10" ht="16.5" x14ac:dyDescent="0.3">
      <c r="A26" s="8">
        <v>23</v>
      </c>
      <c r="B26" s="9">
        <f t="shared" si="2"/>
        <v>46871</v>
      </c>
      <c r="C26" s="10" t="str">
        <f>IF(A26&lt;=Dashboard!$B$9, "Moratorium (Interest-Only)", "Repayment (EMI Phase)")</f>
        <v>Repayment (EMI Phase)</v>
      </c>
      <c r="D26" s="11">
        <f t="shared" si="3"/>
        <v>163061.57999999999</v>
      </c>
      <c r="E26" s="11">
        <f>IF(C26="Moratorium (Interest-Only)", Dashboard!$B$14, Dashboard!$B$15)</f>
        <v>4928.5341535299431</v>
      </c>
      <c r="F26" s="11">
        <f>ROUND(D26*(Dashboard!$B$7/12), 2)</f>
        <v>1188.99</v>
      </c>
      <c r="G26" s="11">
        <f t="shared" si="0"/>
        <v>3739.54</v>
      </c>
      <c r="H26" s="11">
        <f t="shared" si="1"/>
        <v>159322.03999999998</v>
      </c>
      <c r="I26" s="11">
        <f t="shared" si="4"/>
        <v>31948.350000000006</v>
      </c>
      <c r="J26" s="11">
        <f t="shared" si="5"/>
        <v>39677.96</v>
      </c>
    </row>
    <row r="27" spans="1:10" ht="16.5" x14ac:dyDescent="0.3">
      <c r="A27" s="8">
        <v>24</v>
      </c>
      <c r="B27" s="9">
        <f t="shared" si="2"/>
        <v>46901</v>
      </c>
      <c r="C27" s="10" t="str">
        <f>IF(A27&lt;=Dashboard!$B$9, "Moratorium (Interest-Only)", "Repayment (EMI Phase)")</f>
        <v>Repayment (EMI Phase)</v>
      </c>
      <c r="D27" s="11">
        <f t="shared" si="3"/>
        <v>159322.03999999998</v>
      </c>
      <c r="E27" s="11">
        <f>IF(C27="Moratorium (Interest-Only)", Dashboard!$B$14, Dashboard!$B$15)</f>
        <v>4928.5341535299431</v>
      </c>
      <c r="F27" s="11">
        <f>ROUND(D27*(Dashboard!$B$7/12), 2)</f>
        <v>1161.72</v>
      </c>
      <c r="G27" s="11">
        <f t="shared" si="0"/>
        <v>3766.81</v>
      </c>
      <c r="H27" s="11">
        <f t="shared" si="1"/>
        <v>155555.22999999998</v>
      </c>
      <c r="I27" s="11">
        <f t="shared" si="4"/>
        <v>33110.070000000007</v>
      </c>
      <c r="J27" s="11">
        <f t="shared" si="5"/>
        <v>43444.77</v>
      </c>
    </row>
    <row r="28" spans="1:10" ht="16.5" x14ac:dyDescent="0.3">
      <c r="A28" s="8">
        <v>25</v>
      </c>
      <c r="B28" s="9">
        <f t="shared" si="2"/>
        <v>46932</v>
      </c>
      <c r="C28" s="10" t="str">
        <f>IF(A28&lt;=Dashboard!$B$9, "Moratorium (Interest-Only)", "Repayment (EMI Phase)")</f>
        <v>Repayment (EMI Phase)</v>
      </c>
      <c r="D28" s="11">
        <f t="shared" si="3"/>
        <v>155555.22999999998</v>
      </c>
      <c r="E28" s="11">
        <f>IF(C28="Moratorium (Interest-Only)", Dashboard!$B$14, Dashboard!$B$15)</f>
        <v>4928.5341535299431</v>
      </c>
      <c r="F28" s="11">
        <f>ROUND(D28*(Dashboard!$B$7/12), 2)</f>
        <v>1134.26</v>
      </c>
      <c r="G28" s="11">
        <f t="shared" si="0"/>
        <v>3794.27</v>
      </c>
      <c r="H28" s="11">
        <f t="shared" si="1"/>
        <v>151760.95999999999</v>
      </c>
      <c r="I28" s="11">
        <f t="shared" si="4"/>
        <v>34244.330000000009</v>
      </c>
      <c r="J28" s="11">
        <f t="shared" si="5"/>
        <v>47239.039999999994</v>
      </c>
    </row>
    <row r="29" spans="1:10" ht="16.5" x14ac:dyDescent="0.3">
      <c r="A29" s="8">
        <v>26</v>
      </c>
      <c r="B29" s="9">
        <f t="shared" si="2"/>
        <v>46962</v>
      </c>
      <c r="C29" s="10" t="str">
        <f>IF(A29&lt;=Dashboard!$B$9, "Moratorium (Interest-Only)", "Repayment (EMI Phase)")</f>
        <v>Repayment (EMI Phase)</v>
      </c>
      <c r="D29" s="11">
        <f t="shared" si="3"/>
        <v>151760.95999999999</v>
      </c>
      <c r="E29" s="11">
        <f>IF(C29="Moratorium (Interest-Only)", Dashboard!$B$14, Dashboard!$B$15)</f>
        <v>4928.5341535299431</v>
      </c>
      <c r="F29" s="11">
        <f>ROUND(D29*(Dashboard!$B$7/12), 2)</f>
        <v>1106.5899999999999</v>
      </c>
      <c r="G29" s="11">
        <f t="shared" si="0"/>
        <v>3821.94</v>
      </c>
      <c r="H29" s="11">
        <f t="shared" si="1"/>
        <v>147939.01999999999</v>
      </c>
      <c r="I29" s="11">
        <f t="shared" si="4"/>
        <v>35350.920000000006</v>
      </c>
      <c r="J29" s="11">
        <f t="shared" si="5"/>
        <v>51060.979999999996</v>
      </c>
    </row>
    <row r="30" spans="1:10" ht="16.5" x14ac:dyDescent="0.3">
      <c r="A30" s="8">
        <v>27</v>
      </c>
      <c r="B30" s="9">
        <f t="shared" si="2"/>
        <v>46993</v>
      </c>
      <c r="C30" s="10" t="str">
        <f>IF(A30&lt;=Dashboard!$B$9, "Moratorium (Interest-Only)", "Repayment (EMI Phase)")</f>
        <v>Repayment (EMI Phase)</v>
      </c>
      <c r="D30" s="11">
        <f t="shared" si="3"/>
        <v>147939.01999999999</v>
      </c>
      <c r="E30" s="11">
        <f>IF(C30="Moratorium (Interest-Only)", Dashboard!$B$14, Dashboard!$B$15)</f>
        <v>4928.5341535299431</v>
      </c>
      <c r="F30" s="11">
        <f>ROUND(D30*(Dashboard!$B$7/12), 2)</f>
        <v>1078.72</v>
      </c>
      <c r="G30" s="11">
        <f t="shared" si="0"/>
        <v>3849.81</v>
      </c>
      <c r="H30" s="11">
        <f t="shared" si="1"/>
        <v>144089.21</v>
      </c>
      <c r="I30" s="11">
        <f t="shared" si="4"/>
        <v>36429.640000000007</v>
      </c>
      <c r="J30" s="11">
        <f t="shared" si="5"/>
        <v>54910.789999999994</v>
      </c>
    </row>
    <row r="31" spans="1:10" ht="16.5" x14ac:dyDescent="0.3">
      <c r="A31" s="8">
        <v>28</v>
      </c>
      <c r="B31" s="9">
        <f t="shared" si="2"/>
        <v>47024</v>
      </c>
      <c r="C31" s="10" t="str">
        <f>IF(A31&lt;=Dashboard!$B$9, "Moratorium (Interest-Only)", "Repayment (EMI Phase)")</f>
        <v>Repayment (EMI Phase)</v>
      </c>
      <c r="D31" s="11">
        <f t="shared" si="3"/>
        <v>144089.21</v>
      </c>
      <c r="E31" s="11">
        <f>IF(C31="Moratorium (Interest-Only)", Dashboard!$B$14, Dashboard!$B$15)</f>
        <v>4928.5341535299431</v>
      </c>
      <c r="F31" s="11">
        <f>ROUND(D31*(Dashboard!$B$7/12), 2)</f>
        <v>1050.6500000000001</v>
      </c>
      <c r="G31" s="11">
        <f t="shared" si="0"/>
        <v>3877.88</v>
      </c>
      <c r="H31" s="11">
        <f t="shared" si="1"/>
        <v>140211.32999999999</v>
      </c>
      <c r="I31" s="11">
        <f t="shared" si="4"/>
        <v>37480.290000000008</v>
      </c>
      <c r="J31" s="11">
        <f t="shared" si="5"/>
        <v>58788.669999999991</v>
      </c>
    </row>
    <row r="32" spans="1:10" ht="16.5" x14ac:dyDescent="0.3">
      <c r="A32" s="8">
        <v>29</v>
      </c>
      <c r="B32" s="9">
        <f t="shared" si="2"/>
        <v>47054</v>
      </c>
      <c r="C32" s="10" t="str">
        <f>IF(A32&lt;=Dashboard!$B$9, "Moratorium (Interest-Only)", "Repayment (EMI Phase)")</f>
        <v>Repayment (EMI Phase)</v>
      </c>
      <c r="D32" s="11">
        <f t="shared" si="3"/>
        <v>140211.32999999999</v>
      </c>
      <c r="E32" s="11">
        <f>IF(C32="Moratorium (Interest-Only)", Dashboard!$B$14, Dashboard!$B$15)</f>
        <v>4928.5341535299431</v>
      </c>
      <c r="F32" s="11">
        <f>ROUND(D32*(Dashboard!$B$7/12), 2)</f>
        <v>1022.37</v>
      </c>
      <c r="G32" s="11">
        <f t="shared" si="0"/>
        <v>3906.16</v>
      </c>
      <c r="H32" s="11">
        <f t="shared" si="1"/>
        <v>136305.16999999998</v>
      </c>
      <c r="I32" s="11">
        <f t="shared" si="4"/>
        <v>38502.660000000011</v>
      </c>
      <c r="J32" s="11">
        <f t="shared" si="5"/>
        <v>62694.829999999987</v>
      </c>
    </row>
    <row r="33" spans="1:10" ht="16.5" x14ac:dyDescent="0.3">
      <c r="A33" s="8">
        <v>30</v>
      </c>
      <c r="B33" s="9">
        <f t="shared" si="2"/>
        <v>47085</v>
      </c>
      <c r="C33" s="10" t="str">
        <f>IF(A33&lt;=Dashboard!$B$9, "Moratorium (Interest-Only)", "Repayment (EMI Phase)")</f>
        <v>Repayment (EMI Phase)</v>
      </c>
      <c r="D33" s="11">
        <f t="shared" si="3"/>
        <v>136305.16999999998</v>
      </c>
      <c r="E33" s="11">
        <f>IF(C33="Moratorium (Interest-Only)", Dashboard!$B$14, Dashboard!$B$15)</f>
        <v>4928.5341535299431</v>
      </c>
      <c r="F33" s="11">
        <f>ROUND(D33*(Dashboard!$B$7/12), 2)</f>
        <v>993.89</v>
      </c>
      <c r="G33" s="11">
        <f t="shared" si="0"/>
        <v>3934.64</v>
      </c>
      <c r="H33" s="11">
        <f t="shared" si="1"/>
        <v>132370.52999999997</v>
      </c>
      <c r="I33" s="11">
        <f t="shared" si="4"/>
        <v>39496.55000000001</v>
      </c>
      <c r="J33" s="11">
        <f t="shared" si="5"/>
        <v>66629.469999999987</v>
      </c>
    </row>
    <row r="34" spans="1:10" ht="16.5" x14ac:dyDescent="0.3">
      <c r="A34" s="8">
        <v>31</v>
      </c>
      <c r="B34" s="9">
        <f t="shared" si="2"/>
        <v>47115</v>
      </c>
      <c r="C34" s="10" t="str">
        <f>IF(A34&lt;=Dashboard!$B$9, "Moratorium (Interest-Only)", "Repayment (EMI Phase)")</f>
        <v>Repayment (EMI Phase)</v>
      </c>
      <c r="D34" s="11">
        <f t="shared" si="3"/>
        <v>132370.52999999997</v>
      </c>
      <c r="E34" s="11">
        <f>IF(C34="Moratorium (Interest-Only)", Dashboard!$B$14, Dashboard!$B$15)</f>
        <v>4928.5341535299431</v>
      </c>
      <c r="F34" s="11">
        <f>ROUND(D34*(Dashboard!$B$7/12), 2)</f>
        <v>965.2</v>
      </c>
      <c r="G34" s="11">
        <f t="shared" si="0"/>
        <v>3963.33</v>
      </c>
      <c r="H34" s="11">
        <f t="shared" si="1"/>
        <v>128407.19999999997</v>
      </c>
      <c r="I34" s="11">
        <f t="shared" si="4"/>
        <v>40461.750000000007</v>
      </c>
      <c r="J34" s="11">
        <f t="shared" si="5"/>
        <v>70592.799999999988</v>
      </c>
    </row>
    <row r="35" spans="1:10" ht="16.5" x14ac:dyDescent="0.3">
      <c r="A35" s="8">
        <v>32</v>
      </c>
      <c r="B35" s="9">
        <f t="shared" si="2"/>
        <v>47146</v>
      </c>
      <c r="C35" s="10" t="str">
        <f>IF(A35&lt;=Dashboard!$B$9, "Moratorium (Interest-Only)", "Repayment (EMI Phase)")</f>
        <v>Repayment (EMI Phase)</v>
      </c>
      <c r="D35" s="11">
        <f t="shared" si="3"/>
        <v>128407.19999999997</v>
      </c>
      <c r="E35" s="11">
        <f>IF(C35="Moratorium (Interest-Only)", Dashboard!$B$14, Dashboard!$B$15)</f>
        <v>4928.5341535299431</v>
      </c>
      <c r="F35" s="11">
        <f>ROUND(D35*(Dashboard!$B$7/12), 2)</f>
        <v>936.3</v>
      </c>
      <c r="G35" s="11">
        <f t="shared" si="0"/>
        <v>3992.23</v>
      </c>
      <c r="H35" s="11">
        <f t="shared" si="1"/>
        <v>124414.96999999997</v>
      </c>
      <c r="I35" s="11">
        <f t="shared" si="4"/>
        <v>41398.05000000001</v>
      </c>
      <c r="J35" s="11">
        <f t="shared" si="5"/>
        <v>74585.029999999984</v>
      </c>
    </row>
    <row r="36" spans="1:10" ht="16.5" x14ac:dyDescent="0.3">
      <c r="A36" s="8">
        <v>33</v>
      </c>
      <c r="B36" s="9">
        <f t="shared" si="2"/>
        <v>47177</v>
      </c>
      <c r="C36" s="10" t="str">
        <f>IF(A36&lt;=Dashboard!$B$9, "Moratorium (Interest-Only)", "Repayment (EMI Phase)")</f>
        <v>Repayment (EMI Phase)</v>
      </c>
      <c r="D36" s="11">
        <f t="shared" si="3"/>
        <v>124414.96999999997</v>
      </c>
      <c r="E36" s="11">
        <f>IF(C36="Moratorium (Interest-Only)", Dashboard!$B$14, Dashboard!$B$15)</f>
        <v>4928.5341535299431</v>
      </c>
      <c r="F36" s="11">
        <f>ROUND(D36*(Dashboard!$B$7/12), 2)</f>
        <v>907.19</v>
      </c>
      <c r="G36" s="11">
        <f t="shared" ref="G36:G62" si="6">ROUND(E36-F36, 2)</f>
        <v>4021.34</v>
      </c>
      <c r="H36" s="11">
        <f t="shared" ref="H36:H63" si="7">D36-G36</f>
        <v>120393.62999999998</v>
      </c>
      <c r="I36" s="11">
        <f t="shared" si="4"/>
        <v>42305.240000000013</v>
      </c>
      <c r="J36" s="11">
        <f t="shared" si="5"/>
        <v>78606.369999999981</v>
      </c>
    </row>
    <row r="37" spans="1:10" ht="16.5" x14ac:dyDescent="0.3">
      <c r="A37" s="8">
        <v>34</v>
      </c>
      <c r="B37" s="9">
        <f t="shared" ref="B37:B63" si="8">EDATE(B36, 1)</f>
        <v>47205</v>
      </c>
      <c r="C37" s="10" t="str">
        <f>IF(A37&lt;=Dashboard!$B$9, "Moratorium (Interest-Only)", "Repayment (EMI Phase)")</f>
        <v>Repayment (EMI Phase)</v>
      </c>
      <c r="D37" s="11">
        <f t="shared" ref="D37:D63" si="9">H36</f>
        <v>120393.62999999998</v>
      </c>
      <c r="E37" s="11">
        <f>IF(C37="Moratorium (Interest-Only)", Dashboard!$B$14, Dashboard!$B$15)</f>
        <v>4928.5341535299431</v>
      </c>
      <c r="F37" s="11">
        <f>ROUND(D37*(Dashboard!$B$7/12), 2)</f>
        <v>877.87</v>
      </c>
      <c r="G37" s="11">
        <f t="shared" si="6"/>
        <v>4050.66</v>
      </c>
      <c r="H37" s="11">
        <f t="shared" si="7"/>
        <v>116342.96999999997</v>
      </c>
      <c r="I37" s="11">
        <f t="shared" ref="I37:I63" si="10">I36+F37</f>
        <v>43183.110000000015</v>
      </c>
      <c r="J37" s="11">
        <f t="shared" ref="J37:J63" si="11">J36+G37</f>
        <v>82657.029999999984</v>
      </c>
    </row>
    <row r="38" spans="1:10" ht="16.5" x14ac:dyDescent="0.3">
      <c r="A38" s="8">
        <v>35</v>
      </c>
      <c r="B38" s="9">
        <f t="shared" si="8"/>
        <v>47236</v>
      </c>
      <c r="C38" s="10" t="str">
        <f>IF(A38&lt;=Dashboard!$B$9, "Moratorium (Interest-Only)", "Repayment (EMI Phase)")</f>
        <v>Repayment (EMI Phase)</v>
      </c>
      <c r="D38" s="11">
        <f t="shared" si="9"/>
        <v>116342.96999999997</v>
      </c>
      <c r="E38" s="11">
        <f>IF(C38="Moratorium (Interest-Only)", Dashboard!$B$14, Dashboard!$B$15)</f>
        <v>4928.5341535299431</v>
      </c>
      <c r="F38" s="11">
        <f>ROUND(D38*(Dashboard!$B$7/12), 2)</f>
        <v>848.33</v>
      </c>
      <c r="G38" s="11">
        <f t="shared" si="6"/>
        <v>4080.2</v>
      </c>
      <c r="H38" s="11">
        <f t="shared" si="7"/>
        <v>112262.76999999997</v>
      </c>
      <c r="I38" s="11">
        <f t="shared" si="10"/>
        <v>44031.440000000017</v>
      </c>
      <c r="J38" s="11">
        <f t="shared" si="11"/>
        <v>86737.229999999981</v>
      </c>
    </row>
    <row r="39" spans="1:10" ht="16.5" x14ac:dyDescent="0.3">
      <c r="A39" s="8">
        <v>36</v>
      </c>
      <c r="B39" s="9">
        <f t="shared" si="8"/>
        <v>47266</v>
      </c>
      <c r="C39" s="10" t="str">
        <f>IF(A39&lt;=Dashboard!$B$9, "Moratorium (Interest-Only)", "Repayment (EMI Phase)")</f>
        <v>Repayment (EMI Phase)</v>
      </c>
      <c r="D39" s="11">
        <f t="shared" si="9"/>
        <v>112262.76999999997</v>
      </c>
      <c r="E39" s="11">
        <f>IF(C39="Moratorium (Interest-Only)", Dashboard!$B$14, Dashboard!$B$15)</f>
        <v>4928.5341535299431</v>
      </c>
      <c r="F39" s="11">
        <f>ROUND(D39*(Dashboard!$B$7/12), 2)</f>
        <v>818.58</v>
      </c>
      <c r="G39" s="11">
        <f t="shared" si="6"/>
        <v>4109.95</v>
      </c>
      <c r="H39" s="11">
        <f t="shared" si="7"/>
        <v>108152.81999999998</v>
      </c>
      <c r="I39" s="11">
        <f t="shared" si="10"/>
        <v>44850.020000000019</v>
      </c>
      <c r="J39" s="11">
        <f t="shared" si="11"/>
        <v>90847.179999999978</v>
      </c>
    </row>
    <row r="40" spans="1:10" ht="16.5" x14ac:dyDescent="0.3">
      <c r="A40" s="8">
        <v>37</v>
      </c>
      <c r="B40" s="9">
        <f t="shared" si="8"/>
        <v>47297</v>
      </c>
      <c r="C40" s="10" t="str">
        <f>IF(A40&lt;=Dashboard!$B$9, "Moratorium (Interest-Only)", "Repayment (EMI Phase)")</f>
        <v>Repayment (EMI Phase)</v>
      </c>
      <c r="D40" s="11">
        <f t="shared" si="9"/>
        <v>108152.81999999998</v>
      </c>
      <c r="E40" s="11">
        <f>IF(C40="Moratorium (Interest-Only)", Dashboard!$B$14, Dashboard!$B$15)</f>
        <v>4928.5341535299431</v>
      </c>
      <c r="F40" s="11">
        <f>ROUND(D40*(Dashboard!$B$7/12), 2)</f>
        <v>788.61</v>
      </c>
      <c r="G40" s="11">
        <f t="shared" si="6"/>
        <v>4139.92</v>
      </c>
      <c r="H40" s="11">
        <f t="shared" si="7"/>
        <v>104012.89999999998</v>
      </c>
      <c r="I40" s="11">
        <f t="shared" si="10"/>
        <v>45638.630000000019</v>
      </c>
      <c r="J40" s="11">
        <f t="shared" si="11"/>
        <v>94987.099999999977</v>
      </c>
    </row>
    <row r="41" spans="1:10" ht="16.5" x14ac:dyDescent="0.3">
      <c r="A41" s="8">
        <v>38</v>
      </c>
      <c r="B41" s="9">
        <f t="shared" si="8"/>
        <v>47327</v>
      </c>
      <c r="C41" s="10" t="str">
        <f>IF(A41&lt;=Dashboard!$B$9, "Moratorium (Interest-Only)", "Repayment (EMI Phase)")</f>
        <v>Repayment (EMI Phase)</v>
      </c>
      <c r="D41" s="11">
        <f t="shared" si="9"/>
        <v>104012.89999999998</v>
      </c>
      <c r="E41" s="11">
        <f>IF(C41="Moratorium (Interest-Only)", Dashboard!$B$14, Dashboard!$B$15)</f>
        <v>4928.5341535299431</v>
      </c>
      <c r="F41" s="11">
        <f>ROUND(D41*(Dashboard!$B$7/12), 2)</f>
        <v>758.43</v>
      </c>
      <c r="G41" s="11">
        <f t="shared" si="6"/>
        <v>4170.1000000000004</v>
      </c>
      <c r="H41" s="11">
        <f t="shared" si="7"/>
        <v>99842.799999999974</v>
      </c>
      <c r="I41" s="11">
        <f t="shared" si="10"/>
        <v>46397.060000000019</v>
      </c>
      <c r="J41" s="11">
        <f t="shared" si="11"/>
        <v>99157.199999999983</v>
      </c>
    </row>
    <row r="42" spans="1:10" ht="16.5" x14ac:dyDescent="0.3">
      <c r="A42" s="8">
        <v>39</v>
      </c>
      <c r="B42" s="9">
        <f t="shared" si="8"/>
        <v>47358</v>
      </c>
      <c r="C42" s="10" t="str">
        <f>IF(A42&lt;=Dashboard!$B$9, "Moratorium (Interest-Only)", "Repayment (EMI Phase)")</f>
        <v>Repayment (EMI Phase)</v>
      </c>
      <c r="D42" s="11">
        <f t="shared" si="9"/>
        <v>99842.799999999974</v>
      </c>
      <c r="E42" s="11">
        <f>IF(C42="Moratorium (Interest-Only)", Dashboard!$B$14, Dashboard!$B$15)</f>
        <v>4928.5341535299431</v>
      </c>
      <c r="F42" s="11">
        <f>ROUND(D42*(Dashboard!$B$7/12), 2)</f>
        <v>728.02</v>
      </c>
      <c r="G42" s="11">
        <f t="shared" si="6"/>
        <v>4200.51</v>
      </c>
      <c r="H42" s="11">
        <f t="shared" si="7"/>
        <v>95642.289999999979</v>
      </c>
      <c r="I42" s="11">
        <f t="shared" si="10"/>
        <v>47125.080000000016</v>
      </c>
      <c r="J42" s="11">
        <f t="shared" si="11"/>
        <v>103357.70999999998</v>
      </c>
    </row>
    <row r="43" spans="1:10" ht="16.5" x14ac:dyDescent="0.3">
      <c r="A43" s="8">
        <v>40</v>
      </c>
      <c r="B43" s="9">
        <f t="shared" si="8"/>
        <v>47389</v>
      </c>
      <c r="C43" s="10" t="str">
        <f>IF(A43&lt;=Dashboard!$B$9, "Moratorium (Interest-Only)", "Repayment (EMI Phase)")</f>
        <v>Repayment (EMI Phase)</v>
      </c>
      <c r="D43" s="11">
        <f t="shared" si="9"/>
        <v>95642.289999999979</v>
      </c>
      <c r="E43" s="11">
        <f>IF(C43="Moratorium (Interest-Only)", Dashboard!$B$14, Dashboard!$B$15)</f>
        <v>4928.5341535299431</v>
      </c>
      <c r="F43" s="11">
        <f>ROUND(D43*(Dashboard!$B$7/12), 2)</f>
        <v>697.39</v>
      </c>
      <c r="G43" s="11">
        <f t="shared" si="6"/>
        <v>4231.1400000000003</v>
      </c>
      <c r="H43" s="11">
        <f t="shared" si="7"/>
        <v>91411.14999999998</v>
      </c>
      <c r="I43" s="11">
        <f t="shared" si="10"/>
        <v>47822.470000000016</v>
      </c>
      <c r="J43" s="11">
        <f t="shared" si="11"/>
        <v>107588.84999999998</v>
      </c>
    </row>
    <row r="44" spans="1:10" ht="16.5" x14ac:dyDescent="0.3">
      <c r="A44" s="8">
        <v>41</v>
      </c>
      <c r="B44" s="9">
        <f t="shared" si="8"/>
        <v>47419</v>
      </c>
      <c r="C44" s="10" t="str">
        <f>IF(A44&lt;=Dashboard!$B$9, "Moratorium (Interest-Only)", "Repayment (EMI Phase)")</f>
        <v>Repayment (EMI Phase)</v>
      </c>
      <c r="D44" s="11">
        <f t="shared" si="9"/>
        <v>91411.14999999998</v>
      </c>
      <c r="E44" s="11">
        <f>IF(C44="Moratorium (Interest-Only)", Dashboard!$B$14, Dashboard!$B$15)</f>
        <v>4928.5341535299431</v>
      </c>
      <c r="F44" s="11">
        <f>ROUND(D44*(Dashboard!$B$7/12), 2)</f>
        <v>666.54</v>
      </c>
      <c r="G44" s="11">
        <f t="shared" si="6"/>
        <v>4261.99</v>
      </c>
      <c r="H44" s="11">
        <f t="shared" si="7"/>
        <v>87149.159999999974</v>
      </c>
      <c r="I44" s="11">
        <f t="shared" si="10"/>
        <v>48489.010000000017</v>
      </c>
      <c r="J44" s="11">
        <f t="shared" si="11"/>
        <v>111850.83999999998</v>
      </c>
    </row>
    <row r="45" spans="1:10" ht="16.5" x14ac:dyDescent="0.3">
      <c r="A45" s="8">
        <v>42</v>
      </c>
      <c r="B45" s="9">
        <f t="shared" si="8"/>
        <v>47450</v>
      </c>
      <c r="C45" s="10" t="str">
        <f>IF(A45&lt;=Dashboard!$B$9, "Moratorium (Interest-Only)", "Repayment (EMI Phase)")</f>
        <v>Repayment (EMI Phase)</v>
      </c>
      <c r="D45" s="11">
        <f t="shared" si="9"/>
        <v>87149.159999999974</v>
      </c>
      <c r="E45" s="11">
        <f>IF(C45="Moratorium (Interest-Only)", Dashboard!$B$14, Dashboard!$B$15)</f>
        <v>4928.5341535299431</v>
      </c>
      <c r="F45" s="11">
        <f>ROUND(D45*(Dashboard!$B$7/12), 2)</f>
        <v>635.46</v>
      </c>
      <c r="G45" s="11">
        <f t="shared" si="6"/>
        <v>4293.07</v>
      </c>
      <c r="H45" s="11">
        <f t="shared" si="7"/>
        <v>82856.089999999967</v>
      </c>
      <c r="I45" s="11">
        <f t="shared" si="10"/>
        <v>49124.470000000016</v>
      </c>
      <c r="J45" s="11">
        <f t="shared" si="11"/>
        <v>116143.90999999997</v>
      </c>
    </row>
    <row r="46" spans="1:10" ht="16.5" x14ac:dyDescent="0.3">
      <c r="A46" s="8">
        <v>43</v>
      </c>
      <c r="B46" s="9">
        <f t="shared" si="8"/>
        <v>47480</v>
      </c>
      <c r="C46" s="10" t="str">
        <f>IF(A46&lt;=Dashboard!$B$9, "Moratorium (Interest-Only)", "Repayment (EMI Phase)")</f>
        <v>Repayment (EMI Phase)</v>
      </c>
      <c r="D46" s="11">
        <f t="shared" si="9"/>
        <v>82856.089999999967</v>
      </c>
      <c r="E46" s="11">
        <f>IF(C46="Moratorium (Interest-Only)", Dashboard!$B$14, Dashboard!$B$15)</f>
        <v>4928.5341535299431</v>
      </c>
      <c r="F46" s="11">
        <f>ROUND(D46*(Dashboard!$B$7/12), 2)</f>
        <v>604.16</v>
      </c>
      <c r="G46" s="11">
        <f t="shared" si="6"/>
        <v>4324.37</v>
      </c>
      <c r="H46" s="11">
        <f t="shared" si="7"/>
        <v>78531.719999999972</v>
      </c>
      <c r="I46" s="11">
        <f t="shared" si="10"/>
        <v>49728.630000000019</v>
      </c>
      <c r="J46" s="11">
        <f t="shared" si="11"/>
        <v>120468.27999999997</v>
      </c>
    </row>
    <row r="47" spans="1:10" ht="16.5" x14ac:dyDescent="0.3">
      <c r="A47" s="8">
        <v>44</v>
      </c>
      <c r="B47" s="9">
        <f t="shared" si="8"/>
        <v>47511</v>
      </c>
      <c r="C47" s="10" t="str">
        <f>IF(A47&lt;=Dashboard!$B$9, "Moratorium (Interest-Only)", "Repayment (EMI Phase)")</f>
        <v>Repayment (EMI Phase)</v>
      </c>
      <c r="D47" s="11">
        <f t="shared" si="9"/>
        <v>78531.719999999972</v>
      </c>
      <c r="E47" s="11">
        <f>IF(C47="Moratorium (Interest-Only)", Dashboard!$B$14, Dashboard!$B$15)</f>
        <v>4928.5341535299431</v>
      </c>
      <c r="F47" s="11">
        <f>ROUND(D47*(Dashboard!$B$7/12), 2)</f>
        <v>572.63</v>
      </c>
      <c r="G47" s="11">
        <f t="shared" si="6"/>
        <v>4355.8999999999996</v>
      </c>
      <c r="H47" s="11">
        <f t="shared" si="7"/>
        <v>74175.819999999978</v>
      </c>
      <c r="I47" s="11">
        <f t="shared" si="10"/>
        <v>50301.260000000017</v>
      </c>
      <c r="J47" s="11">
        <f t="shared" si="11"/>
        <v>124824.17999999996</v>
      </c>
    </row>
    <row r="48" spans="1:10" ht="16.5" x14ac:dyDescent="0.3">
      <c r="A48" s="8">
        <v>45</v>
      </c>
      <c r="B48" s="9">
        <f t="shared" si="8"/>
        <v>47542</v>
      </c>
      <c r="C48" s="10" t="str">
        <f>IF(A48&lt;=Dashboard!$B$9, "Moratorium (Interest-Only)", "Repayment (EMI Phase)")</f>
        <v>Repayment (EMI Phase)</v>
      </c>
      <c r="D48" s="11">
        <f t="shared" si="9"/>
        <v>74175.819999999978</v>
      </c>
      <c r="E48" s="11">
        <f>IF(C48="Moratorium (Interest-Only)", Dashboard!$B$14, Dashboard!$B$15)</f>
        <v>4928.5341535299431</v>
      </c>
      <c r="F48" s="11">
        <f>ROUND(D48*(Dashboard!$B$7/12), 2)</f>
        <v>540.87</v>
      </c>
      <c r="G48" s="11">
        <f t="shared" si="6"/>
        <v>4387.66</v>
      </c>
      <c r="H48" s="11">
        <f t="shared" si="7"/>
        <v>69788.159999999974</v>
      </c>
      <c r="I48" s="11">
        <f t="shared" si="10"/>
        <v>50842.130000000019</v>
      </c>
      <c r="J48" s="11">
        <f t="shared" si="11"/>
        <v>129211.83999999997</v>
      </c>
    </row>
    <row r="49" spans="1:10" ht="16.5" x14ac:dyDescent="0.3">
      <c r="A49" s="8">
        <v>46</v>
      </c>
      <c r="B49" s="9">
        <f t="shared" si="8"/>
        <v>47570</v>
      </c>
      <c r="C49" s="10" t="str">
        <f>IF(A49&lt;=Dashboard!$B$9, "Moratorium (Interest-Only)", "Repayment (EMI Phase)")</f>
        <v>Repayment (EMI Phase)</v>
      </c>
      <c r="D49" s="11">
        <f t="shared" si="9"/>
        <v>69788.159999999974</v>
      </c>
      <c r="E49" s="11">
        <f>IF(C49="Moratorium (Interest-Only)", Dashboard!$B$14, Dashboard!$B$15)</f>
        <v>4928.5341535299431</v>
      </c>
      <c r="F49" s="11">
        <f>ROUND(D49*(Dashboard!$B$7/12), 2)</f>
        <v>508.87</v>
      </c>
      <c r="G49" s="11">
        <f t="shared" si="6"/>
        <v>4419.66</v>
      </c>
      <c r="H49" s="11">
        <f t="shared" si="7"/>
        <v>65368.499999999971</v>
      </c>
      <c r="I49" s="11">
        <f t="shared" si="10"/>
        <v>51351.000000000022</v>
      </c>
      <c r="J49" s="11">
        <f t="shared" si="11"/>
        <v>133631.49999999997</v>
      </c>
    </row>
    <row r="50" spans="1:10" ht="16.5" x14ac:dyDescent="0.3">
      <c r="A50" s="8">
        <v>47</v>
      </c>
      <c r="B50" s="9">
        <f t="shared" si="8"/>
        <v>47601</v>
      </c>
      <c r="C50" s="10" t="str">
        <f>IF(A50&lt;=Dashboard!$B$9, "Moratorium (Interest-Only)", "Repayment (EMI Phase)")</f>
        <v>Repayment (EMI Phase)</v>
      </c>
      <c r="D50" s="11">
        <f t="shared" si="9"/>
        <v>65368.499999999971</v>
      </c>
      <c r="E50" s="11">
        <f>IF(C50="Moratorium (Interest-Only)", Dashboard!$B$14, Dashboard!$B$15)</f>
        <v>4928.5341535299431</v>
      </c>
      <c r="F50" s="11">
        <f>ROUND(D50*(Dashboard!$B$7/12), 2)</f>
        <v>476.65</v>
      </c>
      <c r="G50" s="11">
        <f t="shared" si="6"/>
        <v>4451.88</v>
      </c>
      <c r="H50" s="11">
        <f t="shared" si="7"/>
        <v>60916.619999999974</v>
      </c>
      <c r="I50" s="11">
        <f t="shared" si="10"/>
        <v>51827.650000000023</v>
      </c>
      <c r="J50" s="11">
        <f t="shared" si="11"/>
        <v>138083.37999999998</v>
      </c>
    </row>
    <row r="51" spans="1:10" ht="16.5" x14ac:dyDescent="0.3">
      <c r="A51" s="8">
        <v>48</v>
      </c>
      <c r="B51" s="9">
        <f t="shared" si="8"/>
        <v>47631</v>
      </c>
      <c r="C51" s="10" t="str">
        <f>IF(A51&lt;=Dashboard!$B$9, "Moratorium (Interest-Only)", "Repayment (EMI Phase)")</f>
        <v>Repayment (EMI Phase)</v>
      </c>
      <c r="D51" s="11">
        <f t="shared" si="9"/>
        <v>60916.619999999974</v>
      </c>
      <c r="E51" s="11">
        <f>IF(C51="Moratorium (Interest-Only)", Dashboard!$B$14, Dashboard!$B$15)</f>
        <v>4928.5341535299431</v>
      </c>
      <c r="F51" s="11">
        <f>ROUND(D51*(Dashboard!$B$7/12), 2)</f>
        <v>444.18</v>
      </c>
      <c r="G51" s="11">
        <f t="shared" si="6"/>
        <v>4484.3500000000004</v>
      </c>
      <c r="H51" s="11">
        <f t="shared" si="7"/>
        <v>56432.269999999975</v>
      </c>
      <c r="I51" s="11">
        <f t="shared" si="10"/>
        <v>52271.830000000024</v>
      </c>
      <c r="J51" s="11">
        <f t="shared" si="11"/>
        <v>142567.72999999998</v>
      </c>
    </row>
    <row r="52" spans="1:10" ht="16.5" x14ac:dyDescent="0.3">
      <c r="A52" s="8">
        <v>49</v>
      </c>
      <c r="B52" s="9">
        <f t="shared" si="8"/>
        <v>47662</v>
      </c>
      <c r="C52" s="10" t="str">
        <f>IF(A52&lt;=Dashboard!$B$9, "Moratorium (Interest-Only)", "Repayment (EMI Phase)")</f>
        <v>Repayment (EMI Phase)</v>
      </c>
      <c r="D52" s="11">
        <f t="shared" si="9"/>
        <v>56432.269999999975</v>
      </c>
      <c r="E52" s="11">
        <f>IF(C52="Moratorium (Interest-Only)", Dashboard!$B$14, Dashboard!$B$15)</f>
        <v>4928.5341535299431</v>
      </c>
      <c r="F52" s="11">
        <f>ROUND(D52*(Dashboard!$B$7/12), 2)</f>
        <v>411.49</v>
      </c>
      <c r="G52" s="11">
        <f t="shared" si="6"/>
        <v>4517.04</v>
      </c>
      <c r="H52" s="11">
        <f t="shared" si="7"/>
        <v>51915.229999999974</v>
      </c>
      <c r="I52" s="11">
        <f t="shared" si="10"/>
        <v>52683.320000000022</v>
      </c>
      <c r="J52" s="11">
        <f t="shared" si="11"/>
        <v>147084.76999999999</v>
      </c>
    </row>
    <row r="53" spans="1:10" ht="16.5" x14ac:dyDescent="0.3">
      <c r="A53" s="8">
        <v>50</v>
      </c>
      <c r="B53" s="9">
        <f t="shared" si="8"/>
        <v>47692</v>
      </c>
      <c r="C53" s="10" t="str">
        <f>IF(A53&lt;=Dashboard!$B$9, "Moratorium (Interest-Only)", "Repayment (EMI Phase)")</f>
        <v>Repayment (EMI Phase)</v>
      </c>
      <c r="D53" s="11">
        <f t="shared" si="9"/>
        <v>51915.229999999974</v>
      </c>
      <c r="E53" s="11">
        <f>IF(C53="Moratorium (Interest-Only)", Dashboard!$B$14, Dashboard!$B$15)</f>
        <v>4928.5341535299431</v>
      </c>
      <c r="F53" s="11">
        <f>ROUND(D53*(Dashboard!$B$7/12), 2)</f>
        <v>378.55</v>
      </c>
      <c r="G53" s="11">
        <f t="shared" si="6"/>
        <v>4549.9799999999996</v>
      </c>
      <c r="H53" s="11">
        <f t="shared" si="7"/>
        <v>47365.249999999971</v>
      </c>
      <c r="I53" s="11">
        <f t="shared" si="10"/>
        <v>53061.870000000024</v>
      </c>
      <c r="J53" s="11">
        <f t="shared" si="11"/>
        <v>151634.75</v>
      </c>
    </row>
    <row r="54" spans="1:10" ht="16.5" x14ac:dyDescent="0.3">
      <c r="A54" s="8">
        <v>51</v>
      </c>
      <c r="B54" s="9">
        <f t="shared" si="8"/>
        <v>47723</v>
      </c>
      <c r="C54" s="10" t="str">
        <f>IF(A54&lt;=Dashboard!$B$9, "Moratorium (Interest-Only)", "Repayment (EMI Phase)")</f>
        <v>Repayment (EMI Phase)</v>
      </c>
      <c r="D54" s="11">
        <f t="shared" si="9"/>
        <v>47365.249999999971</v>
      </c>
      <c r="E54" s="11">
        <f>IF(C54="Moratorium (Interest-Only)", Dashboard!$B$14, Dashboard!$B$15)</f>
        <v>4928.5341535299431</v>
      </c>
      <c r="F54" s="11">
        <f>ROUND(D54*(Dashboard!$B$7/12), 2)</f>
        <v>345.37</v>
      </c>
      <c r="G54" s="11">
        <f t="shared" si="6"/>
        <v>4583.16</v>
      </c>
      <c r="H54" s="11">
        <f t="shared" si="7"/>
        <v>42782.089999999967</v>
      </c>
      <c r="I54" s="11">
        <f t="shared" si="10"/>
        <v>53407.240000000027</v>
      </c>
      <c r="J54" s="11">
        <f t="shared" si="11"/>
        <v>156217.91</v>
      </c>
    </row>
    <row r="55" spans="1:10" ht="16.5" x14ac:dyDescent="0.3">
      <c r="A55" s="8">
        <v>52</v>
      </c>
      <c r="B55" s="9">
        <f t="shared" si="8"/>
        <v>47754</v>
      </c>
      <c r="C55" s="10" t="str">
        <f>IF(A55&lt;=Dashboard!$B$9, "Moratorium (Interest-Only)", "Repayment (EMI Phase)")</f>
        <v>Repayment (EMI Phase)</v>
      </c>
      <c r="D55" s="11">
        <f t="shared" si="9"/>
        <v>42782.089999999967</v>
      </c>
      <c r="E55" s="11">
        <f>IF(C55="Moratorium (Interest-Only)", Dashboard!$B$14, Dashboard!$B$15)</f>
        <v>4928.5341535299431</v>
      </c>
      <c r="F55" s="11">
        <f>ROUND(D55*(Dashboard!$B$7/12), 2)</f>
        <v>311.95</v>
      </c>
      <c r="G55" s="11">
        <f t="shared" si="6"/>
        <v>4616.58</v>
      </c>
      <c r="H55" s="11">
        <f t="shared" si="7"/>
        <v>38165.509999999966</v>
      </c>
      <c r="I55" s="11">
        <f t="shared" si="10"/>
        <v>53719.190000000024</v>
      </c>
      <c r="J55" s="11">
        <f t="shared" si="11"/>
        <v>160834.49</v>
      </c>
    </row>
    <row r="56" spans="1:10" ht="16.5" x14ac:dyDescent="0.3">
      <c r="A56" s="8">
        <v>53</v>
      </c>
      <c r="B56" s="9">
        <f t="shared" si="8"/>
        <v>47784</v>
      </c>
      <c r="C56" s="10" t="str">
        <f>IF(A56&lt;=Dashboard!$B$9, "Moratorium (Interest-Only)", "Repayment (EMI Phase)")</f>
        <v>Repayment (EMI Phase)</v>
      </c>
      <c r="D56" s="11">
        <f t="shared" si="9"/>
        <v>38165.509999999966</v>
      </c>
      <c r="E56" s="11">
        <f>IF(C56="Moratorium (Interest-Only)", Dashboard!$B$14, Dashboard!$B$15)</f>
        <v>4928.5341535299431</v>
      </c>
      <c r="F56" s="11">
        <f>ROUND(D56*(Dashboard!$B$7/12), 2)</f>
        <v>278.29000000000002</v>
      </c>
      <c r="G56" s="11">
        <f t="shared" si="6"/>
        <v>4650.24</v>
      </c>
      <c r="H56" s="11">
        <f t="shared" si="7"/>
        <v>33515.269999999968</v>
      </c>
      <c r="I56" s="11">
        <f t="shared" si="10"/>
        <v>53997.480000000025</v>
      </c>
      <c r="J56" s="11">
        <f t="shared" si="11"/>
        <v>165484.72999999998</v>
      </c>
    </row>
    <row r="57" spans="1:10" ht="16.5" x14ac:dyDescent="0.3">
      <c r="A57" s="8">
        <v>54</v>
      </c>
      <c r="B57" s="9">
        <f t="shared" si="8"/>
        <v>47815</v>
      </c>
      <c r="C57" s="10" t="str">
        <f>IF(A57&lt;=Dashboard!$B$9, "Moratorium (Interest-Only)", "Repayment (EMI Phase)")</f>
        <v>Repayment (EMI Phase)</v>
      </c>
      <c r="D57" s="11">
        <f t="shared" si="9"/>
        <v>33515.269999999968</v>
      </c>
      <c r="E57" s="11">
        <f>IF(C57="Moratorium (Interest-Only)", Dashboard!$B$14, Dashboard!$B$15)</f>
        <v>4928.5341535299431</v>
      </c>
      <c r="F57" s="11">
        <f>ROUND(D57*(Dashboard!$B$7/12), 2)</f>
        <v>244.38</v>
      </c>
      <c r="G57" s="11">
        <f t="shared" si="6"/>
        <v>4684.1499999999996</v>
      </c>
      <c r="H57" s="11">
        <f t="shared" si="7"/>
        <v>28831.119999999966</v>
      </c>
      <c r="I57" s="11">
        <f t="shared" si="10"/>
        <v>54241.860000000022</v>
      </c>
      <c r="J57" s="11">
        <f t="shared" si="11"/>
        <v>170168.87999999998</v>
      </c>
    </row>
    <row r="58" spans="1:10" ht="16.5" x14ac:dyDescent="0.3">
      <c r="A58" s="8">
        <v>55</v>
      </c>
      <c r="B58" s="9">
        <f t="shared" si="8"/>
        <v>47845</v>
      </c>
      <c r="C58" s="10" t="str">
        <f>IF(A58&lt;=Dashboard!$B$9, "Moratorium (Interest-Only)", "Repayment (EMI Phase)")</f>
        <v>Repayment (EMI Phase)</v>
      </c>
      <c r="D58" s="11">
        <f t="shared" si="9"/>
        <v>28831.119999999966</v>
      </c>
      <c r="E58" s="11">
        <f>IF(C58="Moratorium (Interest-Only)", Dashboard!$B$14, Dashboard!$B$15)</f>
        <v>4928.5341535299431</v>
      </c>
      <c r="F58" s="11">
        <f>ROUND(D58*(Dashboard!$B$7/12), 2)</f>
        <v>210.23</v>
      </c>
      <c r="G58" s="11">
        <f t="shared" si="6"/>
        <v>4718.3</v>
      </c>
      <c r="H58" s="11">
        <f t="shared" si="7"/>
        <v>24112.819999999967</v>
      </c>
      <c r="I58" s="11">
        <f t="shared" si="10"/>
        <v>54452.090000000026</v>
      </c>
      <c r="J58" s="11">
        <f t="shared" si="11"/>
        <v>174887.17999999996</v>
      </c>
    </row>
    <row r="59" spans="1:10" ht="16.5" x14ac:dyDescent="0.3">
      <c r="A59" s="8">
        <v>56</v>
      </c>
      <c r="B59" s="9">
        <f t="shared" si="8"/>
        <v>47876</v>
      </c>
      <c r="C59" s="10" t="str">
        <f>IF(A59&lt;=Dashboard!$B$9, "Moratorium (Interest-Only)", "Repayment (EMI Phase)")</f>
        <v>Repayment (EMI Phase)</v>
      </c>
      <c r="D59" s="11">
        <f t="shared" si="9"/>
        <v>24112.819999999967</v>
      </c>
      <c r="E59" s="11">
        <f>IF(C59="Moratorium (Interest-Only)", Dashboard!$B$14, Dashboard!$B$15)</f>
        <v>4928.5341535299431</v>
      </c>
      <c r="F59" s="11">
        <f>ROUND(D59*(Dashboard!$B$7/12), 2)</f>
        <v>175.82</v>
      </c>
      <c r="G59" s="11">
        <f t="shared" si="6"/>
        <v>4752.71</v>
      </c>
      <c r="H59" s="11">
        <f t="shared" si="7"/>
        <v>19360.109999999968</v>
      </c>
      <c r="I59" s="11">
        <f t="shared" si="10"/>
        <v>54627.910000000025</v>
      </c>
      <c r="J59" s="11">
        <f t="shared" si="11"/>
        <v>179639.88999999996</v>
      </c>
    </row>
    <row r="60" spans="1:10" ht="16.5" x14ac:dyDescent="0.3">
      <c r="A60" s="8">
        <v>57</v>
      </c>
      <c r="B60" s="9">
        <f t="shared" si="8"/>
        <v>47907</v>
      </c>
      <c r="C60" s="10" t="str">
        <f>IF(A60&lt;=Dashboard!$B$9, "Moratorium (Interest-Only)", "Repayment (EMI Phase)")</f>
        <v>Repayment (EMI Phase)</v>
      </c>
      <c r="D60" s="11">
        <f t="shared" si="9"/>
        <v>19360.109999999968</v>
      </c>
      <c r="E60" s="11">
        <f>IF(C60="Moratorium (Interest-Only)", Dashboard!$B$14, Dashboard!$B$15)</f>
        <v>4928.5341535299431</v>
      </c>
      <c r="F60" s="11">
        <f>ROUND(D60*(Dashboard!$B$7/12), 2)</f>
        <v>141.16999999999999</v>
      </c>
      <c r="G60" s="11">
        <f t="shared" si="6"/>
        <v>4787.3599999999997</v>
      </c>
      <c r="H60" s="11">
        <f t="shared" si="7"/>
        <v>14572.749999999967</v>
      </c>
      <c r="I60" s="11">
        <f t="shared" si="10"/>
        <v>54769.080000000024</v>
      </c>
      <c r="J60" s="11">
        <f t="shared" si="11"/>
        <v>184427.24999999994</v>
      </c>
    </row>
    <row r="61" spans="1:10" ht="16.5" x14ac:dyDescent="0.3">
      <c r="A61" s="8">
        <v>58</v>
      </c>
      <c r="B61" s="9">
        <f t="shared" si="8"/>
        <v>47935</v>
      </c>
      <c r="C61" s="10" t="str">
        <f>IF(A61&lt;=Dashboard!$B$9, "Moratorium (Interest-Only)", "Repayment (EMI Phase)")</f>
        <v>Repayment (EMI Phase)</v>
      </c>
      <c r="D61" s="11">
        <f t="shared" si="9"/>
        <v>14572.749999999967</v>
      </c>
      <c r="E61" s="11">
        <f>IF(C61="Moratorium (Interest-Only)", Dashboard!$B$14, Dashboard!$B$15)</f>
        <v>4928.5341535299431</v>
      </c>
      <c r="F61" s="11">
        <f>ROUND(D61*(Dashboard!$B$7/12), 2)</f>
        <v>106.26</v>
      </c>
      <c r="G61" s="11">
        <f t="shared" si="6"/>
        <v>4822.2700000000004</v>
      </c>
      <c r="H61" s="11">
        <f t="shared" si="7"/>
        <v>9750.4799999999668</v>
      </c>
      <c r="I61" s="11">
        <f t="shared" si="10"/>
        <v>54875.340000000026</v>
      </c>
      <c r="J61" s="11">
        <f t="shared" si="11"/>
        <v>189249.51999999993</v>
      </c>
    </row>
    <row r="62" spans="1:10" ht="16.5" x14ac:dyDescent="0.3">
      <c r="A62" s="8">
        <v>59</v>
      </c>
      <c r="B62" s="9">
        <f t="shared" si="8"/>
        <v>47966</v>
      </c>
      <c r="C62" s="10" t="str">
        <f>IF(A62&lt;=Dashboard!$B$9, "Moratorium (Interest-Only)", "Repayment (EMI Phase)")</f>
        <v>Repayment (EMI Phase)</v>
      </c>
      <c r="D62" s="11">
        <f t="shared" si="9"/>
        <v>9750.4799999999668</v>
      </c>
      <c r="E62" s="11">
        <f>IF(C62="Moratorium (Interest-Only)", Dashboard!$B$14, Dashboard!$B$15)</f>
        <v>4928.5341535299431</v>
      </c>
      <c r="F62" s="11">
        <f>ROUND(D62*(Dashboard!$B$7/12), 2)</f>
        <v>71.099999999999994</v>
      </c>
      <c r="G62" s="11">
        <f t="shared" si="6"/>
        <v>4857.43</v>
      </c>
      <c r="H62" s="11">
        <f t="shared" si="7"/>
        <v>4893.0499999999665</v>
      </c>
      <c r="I62" s="11">
        <f t="shared" si="10"/>
        <v>54946.440000000024</v>
      </c>
      <c r="J62" s="11">
        <f t="shared" si="11"/>
        <v>194106.94999999992</v>
      </c>
    </row>
    <row r="63" spans="1:10" ht="16.5" x14ac:dyDescent="0.3">
      <c r="A63" s="8">
        <v>60</v>
      </c>
      <c r="B63" s="9">
        <f t="shared" si="8"/>
        <v>47996</v>
      </c>
      <c r="C63" s="10" t="str">
        <f>IF(A63&lt;=Dashboard!$B$9, "Moratorium (Interest-Only)", "Repayment (EMI Phase)")</f>
        <v>Repayment (EMI Phase)</v>
      </c>
      <c r="D63" s="11">
        <f t="shared" si="9"/>
        <v>4893.0499999999665</v>
      </c>
      <c r="E63" s="11">
        <f>IF(C63="Moratorium (Interest-Only)", Dashboard!$B$14, Dashboard!$B$15)</f>
        <v>4928.5341535299431</v>
      </c>
      <c r="F63" s="11">
        <f>ROUND(D63*(Dashboard!$B$7/12), 2)</f>
        <v>35.68</v>
      </c>
      <c r="G63" s="11">
        <f>D63</f>
        <v>4893.0499999999665</v>
      </c>
      <c r="H63" s="11">
        <f t="shared" si="7"/>
        <v>0</v>
      </c>
      <c r="I63" s="11">
        <f t="shared" si="10"/>
        <v>54982.120000000024</v>
      </c>
      <c r="J63" s="11">
        <f t="shared" si="11"/>
        <v>198999.99999999988</v>
      </c>
    </row>
  </sheetData>
  <mergeCells count="1">
    <mergeCell ref="A1:J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tabSelected="1" workbookViewId="0">
      <selection activeCell="C16" sqref="C16"/>
    </sheetView>
  </sheetViews>
  <sheetFormatPr defaultRowHeight="15" x14ac:dyDescent="0.25"/>
  <cols>
    <col min="1" max="1" width="12" customWidth="1"/>
    <col min="2" max="2" width="24" customWidth="1"/>
    <col min="3" max="3" width="25" customWidth="1"/>
    <col min="4" max="4" width="24" customWidth="1"/>
    <col min="5" max="5" width="20" customWidth="1"/>
  </cols>
  <sheetData>
    <row r="1" spans="1:10" ht="118.5" customHeight="1" x14ac:dyDescent="0.25">
      <c r="A1" s="26" t="s">
        <v>29</v>
      </c>
      <c r="B1" s="26"/>
      <c r="C1" s="26"/>
      <c r="D1" s="26"/>
      <c r="E1" s="26"/>
      <c r="F1" s="12"/>
      <c r="G1" s="12"/>
      <c r="H1" s="12"/>
      <c r="I1" s="12"/>
      <c r="J1" s="12"/>
    </row>
    <row r="4" spans="1:10" ht="16.5" x14ac:dyDescent="0.25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</row>
    <row r="5" spans="1:10" ht="16.5" x14ac:dyDescent="0.3">
      <c r="A5" s="4">
        <v>1</v>
      </c>
      <c r="B5" s="7">
        <f>SUMIFS('Amortization Schedule'!E:E, 'Amortization Schedule'!A:A, "&gt;="&amp;((1-1)*12+1), 'Amortization Schedule'!A:A, "&lt;="&amp;(1*12))</f>
        <v>17412.499999999996</v>
      </c>
      <c r="C5" s="7">
        <f>SUMIFS('Amortization Schedule'!G:G, 'Amortization Schedule'!A:A, "&gt;="&amp;((1-1)*12+1), 'Amortization Schedule'!A:A, "&lt;="&amp;(1*12))</f>
        <v>0</v>
      </c>
      <c r="D5" s="7">
        <f>SUMIFS('Amortization Schedule'!F:F, 'Amortization Schedule'!A:A, "&gt;="&amp;((1-1)*12+1), 'Amortization Schedule'!A:A, "&lt;="&amp;(1*12))</f>
        <v>17412.480000000003</v>
      </c>
      <c r="E5" s="7">
        <f>IFERROR(INDEX('Amortization Schedule'!H:H, MATCH(1*12, 'Amortization Schedule'!A:A, 0)), 0)</f>
        <v>199000</v>
      </c>
    </row>
    <row r="6" spans="1:10" ht="16.5" x14ac:dyDescent="0.3">
      <c r="A6" s="8">
        <v>2</v>
      </c>
      <c r="B6" s="11">
        <f>SUMIFS('Amortization Schedule'!E:E, 'Amortization Schedule'!A:A, "&gt;="&amp;((2-1)*12+1), 'Amortization Schedule'!A:A, "&lt;="&amp;(2*12))</f>
        <v>59142.409842359331</v>
      </c>
      <c r="C6" s="11">
        <f>SUMIFS('Amortization Schedule'!G:G, 'Amortization Schedule'!A:A, "&gt;="&amp;((2-1)*12+1), 'Amortization Schedule'!A:A, "&lt;="&amp;(2*12))</f>
        <v>43444.77</v>
      </c>
      <c r="D6" s="11">
        <f>SUMIFS('Amortization Schedule'!F:F, 'Amortization Schedule'!A:A, "&gt;="&amp;((2-1)*12+1), 'Amortization Schedule'!A:A, "&lt;="&amp;(2*12))</f>
        <v>15697.59</v>
      </c>
      <c r="E6" s="11">
        <f>IFERROR(INDEX('Amortization Schedule'!H:H, MATCH(2*12, 'Amortization Schedule'!A:A, 0)), 0)</f>
        <v>155555.22999999998</v>
      </c>
    </row>
    <row r="7" spans="1:10" ht="16.5" x14ac:dyDescent="0.3">
      <c r="A7" s="8">
        <v>3</v>
      </c>
      <c r="B7" s="11">
        <f>SUMIFS('Amortization Schedule'!E:E, 'Amortization Schedule'!A:A, "&gt;="&amp;((3-1)*12+1), 'Amortization Schedule'!A:A, "&lt;="&amp;(3*12))</f>
        <v>59142.409842359331</v>
      </c>
      <c r="C7" s="11">
        <f>SUMIFS('Amortization Schedule'!G:G, 'Amortization Schedule'!A:A, "&gt;="&amp;((3-1)*12+1), 'Amortization Schedule'!A:A, "&lt;="&amp;(3*12))</f>
        <v>47402.409999999989</v>
      </c>
      <c r="D7" s="11">
        <f>SUMIFS('Amortization Schedule'!F:F, 'Amortization Schedule'!A:A, "&gt;="&amp;((3-1)*12+1), 'Amortization Schedule'!A:A, "&lt;="&amp;(3*12))</f>
        <v>11739.95</v>
      </c>
      <c r="E7" s="11">
        <f>IFERROR(INDEX('Amortization Schedule'!H:H, MATCH(3*12, 'Amortization Schedule'!A:A, 0)), 0)</f>
        <v>108152.81999999998</v>
      </c>
    </row>
    <row r="8" spans="1:10" ht="16.5" x14ac:dyDescent="0.3">
      <c r="A8" s="8">
        <v>4</v>
      </c>
      <c r="B8" s="11">
        <f>SUMIFS('Amortization Schedule'!E:E, 'Amortization Schedule'!A:A, "&gt;="&amp;((4-1)*12+1), 'Amortization Schedule'!A:A, "&lt;="&amp;(4*12))</f>
        <v>59142.409842359331</v>
      </c>
      <c r="C8" s="11">
        <f>SUMIFS('Amortization Schedule'!G:G, 'Amortization Schedule'!A:A, "&gt;="&amp;((4-1)*12+1), 'Amortization Schedule'!A:A, "&lt;="&amp;(4*12))</f>
        <v>51720.55</v>
      </c>
      <c r="D8" s="11">
        <f>SUMIFS('Amortization Schedule'!F:F, 'Amortization Schedule'!A:A, "&gt;="&amp;((4-1)*12+1), 'Amortization Schedule'!A:A, "&lt;="&amp;(4*12))</f>
        <v>7421.8099999999995</v>
      </c>
      <c r="E8" s="11">
        <f>IFERROR(INDEX('Amortization Schedule'!H:H, MATCH(4*12, 'Amortization Schedule'!A:A, 0)), 0)</f>
        <v>56432.269999999975</v>
      </c>
    </row>
    <row r="9" spans="1:10" ht="16.5" x14ac:dyDescent="0.3">
      <c r="A9" s="8">
        <v>5</v>
      </c>
      <c r="B9" s="11">
        <f>SUMIFS('Amortization Schedule'!E:E, 'Amortization Schedule'!A:A, "&gt;="&amp;((5-1)*12+1), 'Amortization Schedule'!A:A, "&lt;="&amp;(5*12))</f>
        <v>59142.409842359331</v>
      </c>
      <c r="C9" s="11">
        <f>SUMIFS('Amortization Schedule'!G:G, 'Amortization Schedule'!A:A, "&gt;="&amp;((5-1)*12+1), 'Amortization Schedule'!A:A, "&lt;="&amp;(5*12))</f>
        <v>56432.269999999975</v>
      </c>
      <c r="D9" s="11">
        <f>SUMIFS('Amortization Schedule'!F:F, 'Amortization Schedule'!A:A, "&gt;="&amp;((5-1)*12+1), 'Amortization Schedule'!A:A, "&lt;="&amp;(5*12))</f>
        <v>2710.29</v>
      </c>
      <c r="E9" s="11">
        <f>IFERROR(INDEX('Amortization Schedule'!H:H, MATCH(5*12, 'Amortization Schedule'!A:A, 0)), 0)</f>
        <v>0</v>
      </c>
    </row>
  </sheetData>
  <mergeCells count="1">
    <mergeCell ref="A1:E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Amortization Schedule</vt:lpstr>
      <vt:lpstr>Yearly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DharmaKrishnan Raja</cp:lastModifiedBy>
  <dcterms:created xsi:type="dcterms:W3CDTF">2026-06-23T13:01:43Z</dcterms:created>
  <dcterms:modified xsi:type="dcterms:W3CDTF">2026-06-24T06:43:07Z</dcterms:modified>
</cp:coreProperties>
</file>